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meeshaMahanta\AppData\Local\Temp\claude\C--jbs-intelliqe-internal-TestOps-IntelliQE--claude-worktrees-slides-storyline-revision-6fdd8d\699a8ff8-0a52-45a9-8ada-969748991da4\scratchpad\"/>
    </mc:Choice>
  </mc:AlternateContent>
  <xr:revisionPtr revIDLastSave="0" documentId="13_ncr:1_{EBAA0439-5878-4973-8858-0F86205BF10D}" xr6:coauthVersionLast="47" xr6:coauthVersionMax="47" xr10:uidLastSave="{00000000-0000-0000-0000-000000000000}"/>
  <bookViews>
    <workbookView xWindow="4800" yWindow="3110" windowWidth="14400" windowHeight="8170" xr2:uid="{00000000-000D-0000-FFFF-FFFF00000000}"/>
  </bookViews>
  <sheets>
    <sheet name="Assumptions" sheetId="1" r:id="rId1"/>
    <sheet name="Roadmap" sheetId="2" r:id="rId2"/>
    <sheet name="Milestones" sheetId="3" r:id="rId3"/>
    <sheet name="Scope" sheetId="4" r:id="rId4"/>
    <sheet name="Risks" sheetId="5" r:id="rId5"/>
  </sheets>
  <definedNames>
    <definedName name="_xlnm._FilterDatabase" localSheetId="1" hidden="1">Roadmap!$A$4:$M$43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4" l="1"/>
  <c r="H12" i="4"/>
  <c r="H11" i="4"/>
  <c r="H10" i="4"/>
  <c r="H9" i="4"/>
  <c r="H8" i="4"/>
  <c r="H7" i="4"/>
  <c r="H6" i="4"/>
  <c r="H5" i="4"/>
  <c r="E11" i="3"/>
  <c r="E10" i="3"/>
  <c r="E9" i="3"/>
  <c r="E8" i="3"/>
  <c r="E7" i="3"/>
  <c r="E6" i="3"/>
  <c r="E5" i="3"/>
  <c r="F44" i="2"/>
  <c r="H5" i="2"/>
  <c r="B11" i="1"/>
  <c r="B12" i="1" s="1"/>
  <c r="B13" i="1" s="1"/>
  <c r="B8" i="1"/>
  <c r="H14" i="4" l="1"/>
  <c r="G43" i="2"/>
  <c r="G42" i="2"/>
  <c r="G40" i="2"/>
  <c r="G36" i="2"/>
  <c r="G35" i="2"/>
  <c r="G33" i="2"/>
  <c r="G31" i="2"/>
  <c r="G27" i="2"/>
  <c r="G24" i="2"/>
  <c r="G17" i="2"/>
  <c r="G15" i="2"/>
  <c r="G6" i="2"/>
  <c r="G21" i="2"/>
  <c r="G7" i="2"/>
  <c r="G41" i="2"/>
  <c r="G19" i="2"/>
  <c r="G39" i="2"/>
  <c r="G38" i="2"/>
  <c r="G37" i="2"/>
  <c r="G34" i="2"/>
  <c r="G32" i="2"/>
  <c r="G26" i="2"/>
  <c r="G25" i="2"/>
  <c r="G23" i="2"/>
  <c r="G22" i="2"/>
  <c r="G20" i="2"/>
  <c r="G13" i="2"/>
  <c r="G12" i="2"/>
  <c r="G11" i="2"/>
  <c r="G9" i="2"/>
  <c r="G5" i="2"/>
  <c r="G30" i="2"/>
  <c r="G29" i="2"/>
  <c r="G28" i="2"/>
  <c r="G18" i="2"/>
  <c r="G16" i="2"/>
  <c r="G14" i="2"/>
  <c r="G10" i="2"/>
  <c r="G8" i="2"/>
  <c r="I5" i="2" l="1"/>
  <c r="H6" i="2" s="1"/>
  <c r="I6" i="2" s="1"/>
  <c r="H7" i="2" s="1"/>
  <c r="I7" i="2" s="1"/>
  <c r="H8" i="2" s="1"/>
  <c r="I8" i="2" s="1"/>
  <c r="G44" i="2"/>
  <c r="D5" i="3" l="1"/>
  <c r="H9" i="2"/>
  <c r="I9" i="2" s="1"/>
  <c r="H10" i="2" s="1"/>
  <c r="I10" i="2" s="1"/>
  <c r="H11" i="2" s="1"/>
  <c r="I11" i="2" s="1"/>
  <c r="H12" i="2" s="1"/>
  <c r="I12" i="2" s="1"/>
  <c r="H13" i="2" s="1"/>
  <c r="I13" i="2" s="1"/>
  <c r="H14" i="2" s="1"/>
  <c r="I14" i="2" s="1"/>
  <c r="D6" i="3" l="1"/>
  <c r="H15" i="2"/>
  <c r="I15" i="2" s="1"/>
  <c r="H16" i="2" s="1"/>
  <c r="I16" i="2" s="1"/>
  <c r="H17" i="2" s="1"/>
  <c r="I17" i="2" s="1"/>
  <c r="H18" i="2" s="1"/>
  <c r="I18" i="2" s="1"/>
  <c r="D7" i="3" l="1"/>
  <c r="B14" i="1" s="1"/>
  <c r="H19" i="2"/>
  <c r="I19" i="2" s="1"/>
  <c r="H20" i="2" s="1"/>
  <c r="I20" i="2" s="1"/>
  <c r="H21" i="2" s="1"/>
  <c r="I21" i="2" s="1"/>
  <c r="H22" i="2" s="1"/>
  <c r="I22" i="2" s="1"/>
  <c r="H23" i="2" s="1"/>
  <c r="I23" i="2" s="1"/>
  <c r="H24" i="2" s="1"/>
  <c r="I24" i="2" s="1"/>
  <c r="H25" i="2" s="1"/>
  <c r="I25" i="2" s="1"/>
  <c r="H26" i="2" s="1"/>
  <c r="I26" i="2" s="1"/>
  <c r="H27" i="2" l="1"/>
  <c r="I27" i="2" s="1"/>
  <c r="H28" i="2" s="1"/>
  <c r="I28" i="2" s="1"/>
  <c r="H29" i="2" s="1"/>
  <c r="I29" i="2" s="1"/>
  <c r="H30" i="2" s="1"/>
  <c r="I30" i="2" s="1"/>
  <c r="D8" i="3"/>
  <c r="H31" i="2" l="1"/>
  <c r="I31" i="2" s="1"/>
  <c r="H32" i="2" s="1"/>
  <c r="I32" i="2" s="1"/>
  <c r="H33" i="2" s="1"/>
  <c r="I33" i="2" s="1"/>
  <c r="H34" i="2" s="1"/>
  <c r="I34" i="2" s="1"/>
  <c r="H35" i="2" s="1"/>
  <c r="I35" i="2" s="1"/>
  <c r="H36" i="2" s="1"/>
  <c r="I36" i="2" s="1"/>
  <c r="D9" i="3"/>
  <c r="D10" i="3" l="1"/>
  <c r="H37" i="2"/>
  <c r="I37" i="2" s="1"/>
  <c r="H38" i="2" s="1"/>
  <c r="I38" i="2" s="1"/>
  <c r="H39" i="2" s="1"/>
  <c r="I39" i="2" s="1"/>
  <c r="H40" i="2" s="1"/>
  <c r="I40" i="2" s="1"/>
  <c r="H41" i="2" s="1"/>
  <c r="I41" i="2" s="1"/>
  <c r="H42" i="2" s="1"/>
  <c r="I42" i="2" s="1"/>
  <c r="H43" i="2" s="1"/>
  <c r="I43" i="2" s="1"/>
  <c r="D11" i="3" l="1"/>
  <c r="B15" i="1" s="1"/>
  <c r="I44" i="2"/>
</calcChain>
</file>

<file path=xl/sharedStrings.xml><?xml version="1.0" encoding="utf-8"?>
<sst xmlns="http://schemas.openxmlformats.org/spreadsheetml/2006/main" count="486" uniqueCount="275">
  <si>
    <t>ADA Compliance Suite - Roadmap Assumptions</t>
  </si>
  <si>
    <t>Every date in this workbook is driven by the four blue input cells below. Change them and the whole plan recalculates.</t>
  </si>
  <si>
    <t>INPUTS - edit these</t>
  </si>
  <si>
    <t>Project start date</t>
  </si>
  <si>
    <t>First working day. Must be a Monday-Friday.</t>
  </si>
  <si>
    <t>Engineers on the feature</t>
  </si>
  <si>
    <t>Full-stack engineers assigned.</t>
  </si>
  <si>
    <t>Allocation per engineer</t>
  </si>
  <si>
    <t>Share of time on this feature (0.8 = 80%).</t>
  </si>
  <si>
    <t>Effective capacity (person-days per working day)</t>
  </si>
  <si>
    <t>Engineers x allocation. Converts effort into elapsed days.</t>
  </si>
  <si>
    <t>DERIVED - do not edit</t>
  </si>
  <si>
    <t>Total effort (person-days)</t>
  </si>
  <si>
    <t>Sum of every task on the Roadmap tab.</t>
  </si>
  <si>
    <t>Elapsed working days</t>
  </si>
  <si>
    <t>Total effort divided by effective capacity.</t>
  </si>
  <si>
    <t>Elapsed calendar weeks</t>
  </si>
  <si>
    <t>Working days / 5. Excludes public holidays.</t>
  </si>
  <si>
    <t>MVP delivery (Milestone M3)</t>
  </si>
  <si>
    <t>Accessibility + broken links + best practices.</t>
  </si>
  <si>
    <t>Full GA delivery (Milestone M7)</t>
  </si>
  <si>
    <t>All nine checks, reporting and UI.</t>
  </si>
  <si>
    <t>BASIS OF ESTIMATE - read before quoting these dates</t>
  </si>
  <si>
    <t>- Effort figures are engineering estimates produced from a read of this codebase (backend/src/agents, backend/src/orchestrator, backend/src/services, frontend/src/pages/ChatPage.tsx). They are not quotes from the delivery team and have not been validated against team velocity.</t>
  </si>
  <si>
    <t>- The schedule models tasks as one sequential critical path at the stated capacity. Real execution will parallelise some tracks (e.g. frontend alongside backend checks), which pulls dates in; unplanned work and context-switching push them out. Treat the dates as a planning baseline, not a commitment.</t>
  </si>
  <si>
    <t>- Public holidays and leave are NOT modelled. WORKDAY() excludes weekends only. Subtract your own holiday days from the delivery dates.</t>
  </si>
  <si>
    <t>- Phase 3 (Visual &amp; Design QA) carries the widest estimate range. Alignment, overlap and style-guide adherence have no off-the-shelf engine - unlike accessibility, which axe-core solves. If the Phase 0 spike shows a baseline-diff approach is needed, Phase 3 effort could grow materially.</t>
  </si>
  <si>
    <t>- Recommendation: ship Milestone M3 as release 1. Accessibility and broken links are the highest-confidence, highest-value checks and reach users in roughly a third of the total timeline.</t>
  </si>
  <si>
    <t>ADA Compliance Suite - Implementation Roadmap</t>
  </si>
  <si>
    <t>Dates are formulas driven by the Assumptions tab. Effort is in person-days; Duration converts that to elapsed working days at the assumed team capacity. Weekends excluded, public holidays are not.</t>
  </si>
  <si>
    <t>ID</t>
  </si>
  <si>
    <t>Phase</t>
  </si>
  <si>
    <t>Task</t>
  </si>
  <si>
    <t>Deliverable / definition of done</t>
  </si>
  <si>
    <t>Owner</t>
  </si>
  <si>
    <t>Effort (person-days)</t>
  </si>
  <si>
    <t>Duration (working days)</t>
  </si>
  <si>
    <t>Start</t>
  </si>
  <si>
    <t>End</t>
  </si>
  <si>
    <t>Milestone</t>
  </si>
  <si>
    <t>Confidence</t>
  </si>
  <si>
    <t>Key files / components</t>
  </si>
  <si>
    <t>Scope tag</t>
  </si>
  <si>
    <t>Phase 0 - Discovery &amp; Spike</t>
  </si>
  <si>
    <t>Spike: axe-core on a real target</t>
  </si>
  <si>
    <t>Run @axe-core/playwright against a live client site. Measure rule coverage, false-positive rate and runtime per page.</t>
  </si>
  <si>
    <t>Backend eng</t>
  </si>
  <si>
    <t>High</t>
  </si>
  <si>
    <t>backend/src/agents/exploreAgent.ts</t>
  </si>
  <si>
    <t>A11Y</t>
  </si>
  <si>
    <t>Spike: visual-check feasibility</t>
  </si>
  <si>
    <t>Decide geometry analysis (bounding boxes from the live DOM) vs rendered-baseline diff for alignment/overlap. Prototype both on one page.</t>
  </si>
  <si>
    <t>Low</t>
  </si>
  <si>
    <t>new: backend/src/services/ada-visual.service.ts</t>
  </si>
  <si>
    <t>ALIGN</t>
  </si>
  <si>
    <t>Scope lock &amp; acceptance criteria</t>
  </si>
  <si>
    <t>Fix WCAG level (2.2 AA), viewport matrix, page-count cap per scan, per-tenant cost budget, and what counts as a pass.</t>
  </si>
  <si>
    <t>Product + QA lead</t>
  </si>
  <si>
    <t>backend/config/pipeline-definition.json</t>
  </si>
  <si>
    <t>INFRA</t>
  </si>
  <si>
    <t>Technical design &amp; schema draft</t>
  </si>
  <si>
    <t>Design doc covering scan lifecycle, finding model, severity taxonomy and DB schema. Reviewed and signed off.</t>
  </si>
  <si>
    <t>Tech lead</t>
  </si>
  <si>
    <t>M1 - Approach approved</t>
  </si>
  <si>
    <t>backend/src/db.ts</t>
  </si>
  <si>
    <t>Phase 1 - Scan Infrastructure</t>
  </si>
  <si>
    <t>Extract reusable crawler</t>
  </si>
  <si>
    <t>Promote the bounded crawl in exploreAgent.ts into ada-crawler.service.ts: auth-aware, same-origin, depth/page caps, emits a sitemap.</t>
  </si>
  <si>
    <t>backend/src/agents/exploreAgent.ts -&gt; services/ada-crawler.service.ts</t>
  </si>
  <si>
    <t>Database schema</t>
  </si>
  <si>
    <t>ada_scans, ada_findings, ada_baselines tables with tenant_id on every row. Idempotent init, consistent with existing db.ts pattern.</t>
  </si>
  <si>
    <t>Scan orchestration service</t>
  </si>
  <si>
    <t>ada-scan.service.ts: per-page fan-out, partial-failure tolerance, resumable runs, cost accounting.</t>
  </si>
  <si>
    <t>Medium</t>
  </si>
  <si>
    <t>new: backend/src/services/ada-scan.service.ts</t>
  </si>
  <si>
    <t>Worker task type</t>
  </si>
  <si>
    <t>New task type in the polling worker so scans run out-of-process like pipeline stages do.</t>
  </si>
  <si>
    <t>backend/src/worker/, routes/pipeline-worker.routes.ts</t>
  </si>
  <si>
    <t>SSE progress events</t>
  </si>
  <si>
    <t>Emit per-page scan progress to the frontend over the existing SSE channel.</t>
  </si>
  <si>
    <t>backend/src/services/sse-manager.ts</t>
  </si>
  <si>
    <t>REST API</t>
  </si>
  <si>
    <t>ada.routes.ts: start scan, poll status, list findings, fetch one finding. Tenant-scoped, mounted in index.ts.</t>
  </si>
  <si>
    <t>M2 - Scan pipeline runs end-to-end</t>
  </si>
  <si>
    <t>new: backend/src/routes/ada.routes.ts</t>
  </si>
  <si>
    <t>Phase 2 - Deterministic Checks</t>
  </si>
  <si>
    <t>Accessibility engine (ADA / WCAG)</t>
  </si>
  <si>
    <t>@axe-core/playwright per page. Map each violation to its WCAG 2.2 success criterion. Alt text, ARIA, focus order, keyboard traps, contrast.</t>
  </si>
  <si>
    <t>new: backend/src/services/ada-a11y.service.ts</t>
  </si>
  <si>
    <t>Broken &amp; dead link checker</t>
  </si>
  <si>
    <t>Crawl every internal and outbound link. Report 404s, redirect chains, timeouts and unreachable targets with the referring page.</t>
  </si>
  <si>
    <t>new: backend/src/services/ada-links.service.ts</t>
  </si>
  <si>
    <t>LINKS</t>
  </si>
  <si>
    <t>Web best-practice checks</t>
  </si>
  <si>
    <t>Semantic HTML, page metadata, image sizing, console errors, mixed content. Lighthouse-style rule set.</t>
  </si>
  <si>
    <t>new: backend/src/services/ada-bestpractice.service.ts</t>
  </si>
  <si>
    <t>BESTPRACTICE</t>
  </si>
  <si>
    <t>Finding normalisation</t>
  </si>
  <si>
    <t>Common finding shape, severity model, cross-page dedupe, element attribution (selector + screenshot region).</t>
  </si>
  <si>
    <t>M3 - MVP: a11y + links shippable</t>
  </si>
  <si>
    <t>new: backend/src/services/ada-findings.service.ts</t>
  </si>
  <si>
    <t>REPORT</t>
  </si>
  <si>
    <t>Phase 3 - Visual &amp; Design QA</t>
  </si>
  <si>
    <t>Computed-style harvester</t>
  </si>
  <si>
    <t>Capture per-element computed styles and bounding boxes at each viewport in the matrix. Shared input for the four visual checks.</t>
  </si>
  <si>
    <t>Font consistency check</t>
  </si>
  <si>
    <t>Cluster font family/weight/size across pages, flag outliers against the dominant set or the declared type scale.</t>
  </si>
  <si>
    <t>ada-visual.service.ts</t>
  </si>
  <si>
    <t>FONT</t>
  </si>
  <si>
    <t>Colour accuracy check</t>
  </si>
  <si>
    <t>Compare rendered hex values against the approved palette / design tokens. Flag near-miss and off-palette colours.</t>
  </si>
  <si>
    <t>COLOR</t>
  </si>
  <si>
    <t>Overlapping element detection</t>
  </si>
  <si>
    <t>Bounding-box collision and clipping detection. Flag controls that overlap or become unclickable at any viewport.</t>
  </si>
  <si>
    <t>OVERLAP</t>
  </si>
  <si>
    <t>UI alignment analysis</t>
  </si>
  <si>
    <t>Detect misaligned elements, uneven spacing and broken grid layouts across breakpoints. Highest false-positive risk.</t>
  </si>
  <si>
    <t>Design-standard ingestion</t>
  </si>
  <si>
    <t>Let a tenant upload a style guide / design-token file. Parse into a comparable rule set. Kiro-style project standards.</t>
  </si>
  <si>
    <t>new: backend/src/services/ada-standards.service.ts</t>
  </si>
  <si>
    <t>STYLEGUIDE</t>
  </si>
  <si>
    <t>Style-guide adherence check</t>
  </si>
  <si>
    <t>Compare the live UI against the ingested standards and component rules. Report deviations per page.</t>
  </si>
  <si>
    <t>ada-standards.service.ts</t>
  </si>
  <si>
    <t>Visual-check tuning</t>
  </si>
  <si>
    <t>False-positive reduction against two or three real client sites. Threshold calibration. Expect iteration here.</t>
  </si>
  <si>
    <t>Backend eng + QA</t>
  </si>
  <si>
    <t>M4 - Visual &amp; design QA complete</t>
  </si>
  <si>
    <t>Phase 4 - Scoring &amp; Reporting</t>
  </si>
  <si>
    <t>Scoring model</t>
  </si>
  <si>
    <t>Per-category scores and weighting into one overall health score. Documented and tenant-overridable.</t>
  </si>
  <si>
    <t>new: backend/src/services/ada-score.service.ts</t>
  </si>
  <si>
    <t>Website health report</t>
  </si>
  <si>
    <t>Scored audit: findings by page and severity, with evidence (screenshot + selector) attached to each.</t>
  </si>
  <si>
    <t>backend/src/services/artifact-report.service.ts</t>
  </si>
  <si>
    <t>Trend across runs</t>
  </si>
  <si>
    <t>Compare a scan to its predecessors. Surface regressions and improvements per category.</t>
  </si>
  <si>
    <t>backend/src/services/report-archive.service.ts</t>
  </si>
  <si>
    <t>Export &amp; notification</t>
  </si>
  <si>
    <t>PDF/Excel export of the health report and email delivery on scan completion.</t>
  </si>
  <si>
    <t>M5 - Health report GA-ready</t>
  </si>
  <si>
    <t>backend/src/services/email.service.ts</t>
  </si>
  <si>
    <t>Phase 5 - Frontend &amp; UX</t>
  </si>
  <si>
    <t>Replace the placeholder flow</t>
  </si>
  <si>
    <t>Swap the ada-preview screen for the real wizard: app/URL picker, viewport and depth config, scan trigger.</t>
  </si>
  <si>
    <t>Frontend eng</t>
  </si>
  <si>
    <t>frontend/src/pages/ChatPage.tsx (ADA_SUITES, ada-preview)</t>
  </si>
  <si>
    <t>UI</t>
  </si>
  <si>
    <t>Live scan progress</t>
  </si>
  <si>
    <t>Per-page progress in the chat panel and the pipeline sidebar, driven by SSE.</t>
  </si>
  <si>
    <t>frontend/src/pages/ChatPage.tsx</t>
  </si>
  <si>
    <t>Findings explorer</t>
  </si>
  <si>
    <t>Browse and filter findings by severity, category and page. Evidence viewer with the offending element highlighted.</t>
  </si>
  <si>
    <t>new: frontend/src/pages/AdaFindingsPage.tsx</t>
  </si>
  <si>
    <t>Report page &amp; Reports integration</t>
  </si>
  <si>
    <t>Health report view, plus ADA runs listed alongside existing runs on the Reports page.</t>
  </si>
  <si>
    <t>frontend/src/pages/ReportsPage.tsx</t>
  </si>
  <si>
    <t>Bug Tracker integration</t>
  </si>
  <si>
    <t>Raise a ticket straight from a finding, reusing the existing bug registration path.</t>
  </si>
  <si>
    <t>frontend/src/pages/BugTrackerPage.tsx, routes/bugs.routes.ts</t>
  </si>
  <si>
    <t>Feature toggle &amp; role gating</t>
  </si>
  <si>
    <t>Gate the suite behind a toggle and the existing role model so it can ship dark and enable per tenant.</t>
  </si>
  <si>
    <t>M6 - Feature complete (internal)</t>
  </si>
  <si>
    <t>frontend/src/pages/FeatureTogglesPage.tsx, components/FeatureGate.tsx</t>
  </si>
  <si>
    <t>Phase 6 - Hardening &amp; Release</t>
  </si>
  <si>
    <t>Multi-tenancy audit</t>
  </si>
  <si>
    <t>Verify tenant_id filtering on every new query and route. Non-negotiable before any tenant sees it.</t>
  </si>
  <si>
    <t>backend/src/routes/ada.routes.ts, db.ts</t>
  </si>
  <si>
    <t>HARDEN</t>
  </si>
  <si>
    <t>Budget &amp; performance guards</t>
  </si>
  <si>
    <t>Page caps, timeouts, cost ceilings and convergence guards so a large site cannot run away with the worker or the API spend.</t>
  </si>
  <si>
    <t>Security review</t>
  </si>
  <si>
    <t>Credential handling for authenticated scans, encrypted at rest via the existing crypto util. Scan-target allowlisting.</t>
  </si>
  <si>
    <t>backend/src/utils/crypto.ts</t>
  </si>
  <si>
    <t>Test coverage</t>
  </si>
  <si>
    <t>Unit tests per check plus an integration test that scans a fixture site with known defects.</t>
  </si>
  <si>
    <t>QA + eng</t>
  </si>
  <si>
    <t>backend/tests/</t>
  </si>
  <si>
    <t>Documentation</t>
  </si>
  <si>
    <t>User guide, CLAUDE.md architecture update, operational runbook for failed scans.</t>
  </si>
  <si>
    <t>CLAUDE.md</t>
  </si>
  <si>
    <t>Client pilot &amp; fix pass</t>
  </si>
  <si>
    <t>Run against one real client site end to end. Triage findings with the client and fix what the pilot exposes.</t>
  </si>
  <si>
    <t>Whole team</t>
  </si>
  <si>
    <t>-</t>
  </si>
  <si>
    <t>Release &amp; rollout</t>
  </si>
  <si>
    <t>Enable the toggle per tenant, monitor first production scans, close out.</t>
  </si>
  <si>
    <t>M7 - GA release</t>
  </si>
  <si>
    <t>TOTAL</t>
  </si>
  <si>
    <t>Milestones</t>
  </si>
  <si>
    <t>Dates pull from the Roadmap tab. Cumulative effort is every task up to and including the milestone.</t>
  </si>
  <si>
    <t>Definition of done</t>
  </si>
  <si>
    <t>Date</t>
  </si>
  <si>
    <t>Cumulative effort (person-days)</t>
  </si>
  <si>
    <t>Approach validated by spike, scope and acceptance criteria signed off, schema designed.</t>
  </si>
  <si>
    <t>A scan can be triggered, crawls the target, records pages and streams progress - no checks wired yet.</t>
  </si>
  <si>
    <t>MVP: accessibility (WCAG 2.2 AA), broken links and best-practice checks produce real findings. Recommended first release.</t>
  </si>
  <si>
    <t>All four visual checks plus style-guide adherence running and tuned against real sites.</t>
  </si>
  <si>
    <t>Scored website health report with evidence, trend comparison, export and email.</t>
  </si>
  <si>
    <t>Full UI: scan wizard, live progress, findings explorer, report page, bug-tracker hand-off. Behind a toggle.</t>
  </si>
  <si>
    <t>Multi-tenancy, security and performance signed off. Piloted with a client and enabled in production.</t>
  </si>
  <si>
    <t>M3 is the recommended first release: highest-confidence checks, real user value, and it lands well before the full suite.</t>
  </si>
  <si>
    <t>Scope - the nine checks</t>
  </si>
  <si>
    <t>Mirrors ADA_SUITES in frontend/src/pages/ChatPage.tsx (line ~113), which is what the placeholder screen renders. Effort pulls from the Roadmap tab by scope tag.</t>
  </si>
  <si>
    <t>Check (as shown in the UI)</t>
  </si>
  <si>
    <t>Group on screen</t>
  </si>
  <si>
    <t>Delivered in phase</t>
  </si>
  <si>
    <t>What it does</t>
  </si>
  <si>
    <t>Technical approach</t>
  </si>
  <si>
    <t>Broken &amp; dead links / 404s</t>
  </si>
  <si>
    <t>Links &amp; site health</t>
  </si>
  <si>
    <t>Phase 2</t>
  </si>
  <si>
    <t>Crawl every internal and outbound link; report 404s, redirect chains and unreachable targets.</t>
  </si>
  <si>
    <t>Custom crawler on the existing Playwright/Chromium setup. Well-understood problem.</t>
  </si>
  <si>
    <t>ADA / accessibility compliance</t>
  </si>
  <si>
    <t>Accessibility &amp; compliance</t>
  </si>
  <si>
    <t>WCAG 2.2 AA: alt text, ARIA roles, focus order, keyboard traps, contrast - each mapped to a success criterion.</t>
  </si>
  <si>
    <t>axe-core via @axe-core/playwright. Mature, deterministic rule engine - the one check with an off-the-shelf answer.</t>
  </si>
  <si>
    <t>UI alignment issues</t>
  </si>
  <si>
    <t>Visual &amp; design QA</t>
  </si>
  <si>
    <t>Phase 3</t>
  </si>
  <si>
    <t>Misaligned elements, uneven spacing, broken grid layouts across breakpoints.</t>
  </si>
  <si>
    <t>Bounding-box geometry from the live DOM, or rendered-baseline diff. No standard engine; needs the Phase 0 spike.</t>
  </si>
  <si>
    <t>Inconsistent fonts / font sizes</t>
  </si>
  <si>
    <t>Font family, weight and size drift compared page to page.</t>
  </si>
  <si>
    <t>Computed-style harvest, then clustering against the dominant set or a declared type scale.</t>
  </si>
  <si>
    <t>Incorrect colours / hex codes</t>
  </si>
  <si>
    <t>Rendered colours checked against the approved brand palette and design tokens.</t>
  </si>
  <si>
    <t>Computed-style harvest, compared to an ingested token set. Needs the palette as input.</t>
  </si>
  <si>
    <t>Buttons or elements overlapping</t>
  </si>
  <si>
    <t>Controls that collide, clip or become unclickable at any viewport.</t>
  </si>
  <si>
    <t>Bounding-box collision detection plus hit-testing. Overlap is common and often intentional - tuning matters.</t>
  </si>
  <si>
    <t>Style guide / design standards adherence</t>
  </si>
  <si>
    <t>The live UI compared against documented design standards and component rules.</t>
  </si>
  <si>
    <t>Tenant uploads a style guide or token file; agent treats it as the source of truth (Kiro-style steering doc).</t>
  </si>
  <si>
    <t>General web best practices</t>
  </si>
  <si>
    <t>Semantic HTML, page metadata, image sizing, console errors, mixed content.</t>
  </si>
  <si>
    <t>Lighthouse-style rule set, implemented directly against the page.</t>
  </si>
  <si>
    <t>Website health / audit report</t>
  </si>
  <si>
    <t>Output</t>
  </si>
  <si>
    <t>Phase 4</t>
  </si>
  <si>
    <t>One scored audit per run: score per category, findings ranked by severity with page and element, trend across runs.</t>
  </si>
  <si>
    <t>Scoring model over normalised findings, rendered through the existing report/artifact services.</t>
  </si>
  <si>
    <t>Checks total</t>
  </si>
  <si>
    <t>Note: the checks total (90) is less than the roadmap total (171) because scan infrastructure, frontend and hardening effort is not attributed to any single check. Shared visual tooling (the computed-style harvester, the Phase 0 spike and the tuning pass) is tagged to UI alignment, so that row reads high relative to the three visual checks that also depend on it.</t>
  </si>
  <si>
    <t>Risk register</t>
  </si>
  <si>
    <t>Ordered by exposure. The top three all sit in Phase 3.</t>
  </si>
  <si>
    <t>Risk</t>
  </si>
  <si>
    <t>Likelihood</t>
  </si>
  <si>
    <t>Impact</t>
  </si>
  <si>
    <t>Why it matters</t>
  </si>
  <si>
    <t>Mitigation</t>
  </si>
  <si>
    <t>Visual checks produce too many false positives to be usable</t>
  </si>
  <si>
    <t>Alignment and overlap have no standard rule engine. A check that cries wolf gets switched off and the phase is wasted.</t>
  </si>
  <si>
    <t>Phase 0 spike before committing. Budget explicit tuning time (task 22). Ship visual checks behind a per-tenant toggle, warn-only at first.</t>
  </si>
  <si>
    <t>Phase 3 effort grows beyond estimate</t>
  </si>
  <si>
    <t>45 of 171 person-days sit in the least-certain phase. A baseline-diff approach would cost materially more than geometry analysis.</t>
  </si>
  <si>
    <t>Re-estimate Phase 3 at the M1 gate once the spike lands. Ship M3 first so a Phase 3 overrun does not block all user value.</t>
  </si>
  <si>
    <t>Style-guide adherence has no input to check against</t>
  </si>
  <si>
    <t>The check is meaningless unless the tenant actually has documented design standards in a parseable form. Many will not.</t>
  </si>
  <si>
    <t>Confirm with the pilot client during Phase 0 that a usable style guide or token file exists. Otherwise defer this check.</t>
  </si>
  <si>
    <t>Product</t>
  </si>
  <si>
    <t>Scan cost and runtime on large sites</t>
  </si>
  <si>
    <t>Every check runs per page. A large site multiplies browser time and, where the LLM is involved, API spend.</t>
  </si>
  <si>
    <t>Hard page caps and timeouts from Phase 1 (existing budget-guard pattern). Cost ceiling per scan, surfaced before the run starts.</t>
  </si>
  <si>
    <t>Authenticated scans need stored credentials</t>
  </si>
  <si>
    <t>Scanning past a login means holding tenant credentials, which widens the security surface.</t>
  </si>
  <si>
    <t>Reuse the existing encrypted credential store (backend/src/utils/crypto.ts). Security review is a gating task in Phase 6.</t>
  </si>
  <si>
    <t>axe-core version drift vs WCAG updates</t>
  </si>
  <si>
    <t>Rule sets and success criteria change; findings could go stale or shift between releases.</t>
  </si>
  <si>
    <t>Pin the axe-core version, record it on every scan, and treat upgrades as a deliberate change with a re-baseline.</t>
  </si>
  <si>
    <t>Competing priorities pull engineers off the feature</t>
  </si>
  <si>
    <t>The plan assumes 2 engineers at 80%. Real allocation on this codebase has historically been lumpier.</t>
  </si>
  <si>
    <t>Track actual capacity against the Assumptions tab; recalculate dates monthly rather than defending the original date.</t>
  </si>
  <si>
    <t>Delivery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</si>
</sst>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16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9"/>
      <color rgb="FF595959"/>
      <name val="Arial"/>
    </font>
    <font>
      <sz val="10"/>
      <name val="Arial"/>
    </font>
    <font>
      <b/>
      <sz val="10"/>
      <color rgb="FF1F3864"/>
      <name val="Arial"/>
    </font>
    <font>
      <b/>
      <sz val="10"/>
      <color rgb="FF0000FF"/>
      <name val="Arial"/>
    </font>
    <font>
      <b/>
      <sz val="10"/>
      <name val="Arial"/>
    </font>
    <font>
      <sz val="9"/>
      <color rgb="FF404040"/>
      <name val="Arial"/>
    </font>
    <font>
      <b/>
      <sz val="10"/>
      <color rgb="FFFFFFFF"/>
      <name val="Arial"/>
    </font>
    <font>
      <sz val="8"/>
      <color rgb="FF595959"/>
      <name val="Arial"/>
    </font>
    <font>
      <sz val="8"/>
      <color rgb="FF808080"/>
      <name val="Arial"/>
    </font>
    <font>
      <b/>
      <sz val="10"/>
      <color rgb="FF7F6000"/>
      <name val="Arial"/>
    </font>
    <font>
      <i/>
      <sz val="9"/>
      <color rgb="FF375623"/>
      <name val="Arial"/>
    </font>
    <font>
      <b/>
      <sz val="10"/>
      <color rgb="FF375623"/>
      <name val="Arial"/>
    </font>
    <font>
      <b/>
      <sz val="10"/>
      <color rgb="FFC00000"/>
      <name val="Arial"/>
    </font>
    <font>
      <b/>
      <sz val="10"/>
      <color rgb="FFBF8F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FFF2CC"/>
      </patternFill>
    </fill>
    <fill>
      <patternFill patternType="solid">
        <fgColor rgb="FFDEEAF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DE7F6"/>
      </patternFill>
    </fill>
    <fill>
      <patternFill patternType="solid">
        <fgColor rgb="FFE0F2F1"/>
      </patternFill>
    </fill>
    <fill>
      <patternFill patternType="solid">
        <fgColor rgb="FFF2F2F2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/>
    <xf numFmtId="164" fontId="5" fillId="2" borderId="1" xfId="0" applyNumberFormat="1" applyFont="1" applyFill="1" applyBorder="1"/>
    <xf numFmtId="0" fontId="5" fillId="2" borderId="1" xfId="0" applyFont="1" applyFill="1" applyBorder="1"/>
    <xf numFmtId="9" fontId="5" fillId="2" borderId="1" xfId="0" applyNumberFormat="1" applyFont="1" applyFill="1" applyBorder="1"/>
    <xf numFmtId="2" fontId="3" fillId="0" borderId="0" xfId="0" applyNumberFormat="1" applyFont="1"/>
    <xf numFmtId="165" fontId="3" fillId="0" borderId="0" xfId="0" applyNumberFormat="1" applyFont="1"/>
    <xf numFmtId="0" fontId="6" fillId="0" borderId="0" xfId="0" applyFont="1"/>
    <xf numFmtId="164" fontId="6" fillId="0" borderId="0" xfId="0" applyNumberFormat="1" applyFont="1"/>
    <xf numFmtId="0" fontId="8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top" wrapText="1"/>
    </xf>
    <xf numFmtId="164" fontId="3" fillId="5" borderId="1" xfId="0" applyNumberFormat="1" applyFont="1" applyFill="1" applyBorder="1" applyAlignment="1">
      <alignment vertical="top" wrapText="1"/>
    </xf>
    <xf numFmtId="0" fontId="11" fillId="5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3" fillId="11" borderId="1" xfId="0" applyFont="1" applyFill="1" applyBorder="1" applyAlignment="1">
      <alignment vertical="top" wrapText="1"/>
    </xf>
    <xf numFmtId="0" fontId="6" fillId="12" borderId="1" xfId="0" applyFont="1" applyFill="1" applyBorder="1"/>
    <xf numFmtId="0" fontId="6" fillId="12" borderId="1" xfId="0" applyFont="1" applyFill="1" applyBorder="1" applyAlignment="1">
      <alignment horizontal="center" vertical="center"/>
    </xf>
    <xf numFmtId="164" fontId="6" fillId="12" borderId="1" xfId="0" applyNumberFormat="1" applyFont="1" applyFill="1" applyBorder="1"/>
    <xf numFmtId="0" fontId="6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horizontal="center" vertical="center"/>
    </xf>
    <xf numFmtId="0" fontId="6" fillId="7" borderId="1" xfId="0" applyFont="1" applyFill="1" applyBorder="1" applyAlignment="1">
      <alignment vertical="top" wrapText="1"/>
    </xf>
    <xf numFmtId="164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top" wrapText="1"/>
    </xf>
    <xf numFmtId="0" fontId="0" fillId="0" borderId="0" xfId="0"/>
    <xf numFmtId="0" fontId="2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/>
  </sheetViews>
  <sheetFormatPr defaultRowHeight="14.5" x14ac:dyDescent="0.35"/>
  <cols>
    <col min="1" max="1" width="44" customWidth="1"/>
    <col min="2" max="2" width="16" customWidth="1"/>
    <col min="3" max="3" width="62" customWidth="1"/>
  </cols>
  <sheetData>
    <row r="1" spans="1:3" ht="18" x14ac:dyDescent="0.4">
      <c r="A1" s="1" t="s">
        <v>0</v>
      </c>
    </row>
    <row r="2" spans="1:3" x14ac:dyDescent="0.35">
      <c r="A2" s="2" t="s">
        <v>1</v>
      </c>
    </row>
    <row r="3" spans="1:3" x14ac:dyDescent="0.35">
      <c r="A3" s="3"/>
      <c r="B3" s="3"/>
      <c r="C3" s="4"/>
    </row>
    <row r="4" spans="1:3" x14ac:dyDescent="0.35">
      <c r="A4" s="5" t="s">
        <v>2</v>
      </c>
      <c r="B4" s="3"/>
      <c r="C4" s="4"/>
    </row>
    <row r="5" spans="1:3" x14ac:dyDescent="0.35">
      <c r="A5" s="3" t="s">
        <v>3</v>
      </c>
      <c r="B5" s="6">
        <v>46279</v>
      </c>
      <c r="C5" s="4" t="s">
        <v>4</v>
      </c>
    </row>
    <row r="6" spans="1:3" x14ac:dyDescent="0.35">
      <c r="A6" s="3" t="s">
        <v>5</v>
      </c>
      <c r="B6" s="7">
        <v>2</v>
      </c>
      <c r="C6" s="4" t="s">
        <v>6</v>
      </c>
    </row>
    <row r="7" spans="1:3" x14ac:dyDescent="0.35">
      <c r="A7" s="3" t="s">
        <v>7</v>
      </c>
      <c r="B7" s="8">
        <v>0.8</v>
      </c>
      <c r="C7" s="4" t="s">
        <v>8</v>
      </c>
    </row>
    <row r="8" spans="1:3" x14ac:dyDescent="0.35">
      <c r="A8" s="3" t="s">
        <v>9</v>
      </c>
      <c r="B8" s="9">
        <f>B6*B7</f>
        <v>1.6</v>
      </c>
      <c r="C8" s="4" t="s">
        <v>10</v>
      </c>
    </row>
    <row r="9" spans="1:3" x14ac:dyDescent="0.35">
      <c r="A9" s="3"/>
      <c r="B9" s="3"/>
      <c r="C9" s="4"/>
    </row>
    <row r="10" spans="1:3" x14ac:dyDescent="0.35">
      <c r="A10" s="5" t="s">
        <v>11</v>
      </c>
      <c r="B10" s="3"/>
      <c r="C10" s="4"/>
    </row>
    <row r="11" spans="1:3" x14ac:dyDescent="0.35">
      <c r="A11" s="3" t="s">
        <v>12</v>
      </c>
      <c r="B11" s="3">
        <f>SUM(Roadmap!F5:F43)</f>
        <v>171</v>
      </c>
      <c r="C11" s="4" t="s">
        <v>13</v>
      </c>
    </row>
    <row r="12" spans="1:3" x14ac:dyDescent="0.35">
      <c r="A12" s="3" t="s">
        <v>14</v>
      </c>
      <c r="B12" s="3">
        <f>ROUNDUP(B11/B8,0)</f>
        <v>107</v>
      </c>
      <c r="C12" s="4" t="s">
        <v>15</v>
      </c>
    </row>
    <row r="13" spans="1:3" x14ac:dyDescent="0.35">
      <c r="A13" s="3" t="s">
        <v>16</v>
      </c>
      <c r="B13" s="10">
        <f>ROUND(B12/5,1)</f>
        <v>21.4</v>
      </c>
      <c r="C13" s="4" t="s">
        <v>17</v>
      </c>
    </row>
    <row r="14" spans="1:3" x14ac:dyDescent="0.35">
      <c r="A14" s="11" t="s">
        <v>18</v>
      </c>
      <c r="B14" s="12">
        <f>Milestones!D7</f>
        <v>46337</v>
      </c>
      <c r="C14" s="4" t="s">
        <v>19</v>
      </c>
    </row>
    <row r="15" spans="1:3" x14ac:dyDescent="0.35">
      <c r="A15" s="11" t="s">
        <v>20</v>
      </c>
      <c r="B15" s="12">
        <f>Milestones!D11</f>
        <v>46456</v>
      </c>
      <c r="C15" s="4" t="s">
        <v>21</v>
      </c>
    </row>
    <row r="17" spans="1:3" x14ac:dyDescent="0.35">
      <c r="A17" s="5" t="s">
        <v>22</v>
      </c>
    </row>
    <row r="18" spans="1:3" ht="42" customHeight="1" x14ac:dyDescent="0.35">
      <c r="A18" s="44" t="s">
        <v>23</v>
      </c>
      <c r="B18" s="45"/>
      <c r="C18" s="45"/>
    </row>
    <row r="19" spans="1:3" ht="42" customHeight="1" x14ac:dyDescent="0.35">
      <c r="A19" s="44" t="s">
        <v>24</v>
      </c>
      <c r="B19" s="45"/>
      <c r="C19" s="45"/>
    </row>
    <row r="20" spans="1:3" ht="42" customHeight="1" x14ac:dyDescent="0.35">
      <c r="A20" s="44" t="s">
        <v>25</v>
      </c>
      <c r="B20" s="45"/>
      <c r="C20" s="45"/>
    </row>
    <row r="21" spans="1:3" ht="42" customHeight="1" x14ac:dyDescent="0.35">
      <c r="A21" s="44" t="s">
        <v>26</v>
      </c>
      <c r="B21" s="45"/>
      <c r="C21" s="45"/>
    </row>
    <row r="22" spans="1:3" ht="42" customHeight="1" x14ac:dyDescent="0.35">
      <c r="A22" s="44" t="s">
        <v>27</v>
      </c>
      <c r="B22" s="45"/>
      <c r="C22" s="45"/>
    </row>
  </sheetData>
  <mergeCells count="5">
    <mergeCell ref="A19:C19"/>
    <mergeCell ref="A22:C22"/>
    <mergeCell ref="A18:C18"/>
    <mergeCell ref="A21:C21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5" customWidth="1"/>
    <col min="2" max="2" width="24" customWidth="1"/>
    <col min="3" max="3" width="30" customWidth="1"/>
    <col min="4" max="4" width="52" customWidth="1"/>
    <col min="5" max="5" width="14" customWidth="1"/>
    <col min="6" max="7" width="11" customWidth="1"/>
    <col min="8" max="9" width="12" customWidth="1"/>
    <col min="10" max="10" width="26" customWidth="1"/>
    <col min="11" max="11" width="11" customWidth="1"/>
    <col min="12" max="12" width="40" customWidth="1"/>
    <col min="13" max="13" width="12" customWidth="1"/>
  </cols>
  <sheetData>
    <row r="1" spans="1:13" ht="18" x14ac:dyDescent="0.4">
      <c r="A1" s="1" t="s">
        <v>28</v>
      </c>
    </row>
    <row r="2" spans="1:13" x14ac:dyDescent="0.35">
      <c r="A2" s="46" t="s">
        <v>29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4" spans="1:13" ht="42" customHeight="1" x14ac:dyDescent="0.35">
      <c r="A4" s="13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3" t="s">
        <v>39</v>
      </c>
      <c r="K4" s="13" t="s">
        <v>40</v>
      </c>
      <c r="L4" s="13" t="s">
        <v>41</v>
      </c>
      <c r="M4" s="13" t="s">
        <v>42</v>
      </c>
    </row>
    <row r="5" spans="1:13" ht="40" customHeight="1" x14ac:dyDescent="0.35">
      <c r="A5" s="14">
        <v>1</v>
      </c>
      <c r="B5" s="15" t="s">
        <v>43</v>
      </c>
      <c r="C5" s="16" t="s">
        <v>44</v>
      </c>
      <c r="D5" s="16" t="s">
        <v>45</v>
      </c>
      <c r="E5" s="16" t="s">
        <v>46</v>
      </c>
      <c r="F5" s="14">
        <v>3</v>
      </c>
      <c r="G5" s="14">
        <f>MAX(1,ROUNDUP(F5/Assumptions!$B$8,0))</f>
        <v>2</v>
      </c>
      <c r="H5" s="17">
        <f>Assumptions!$B$5</f>
        <v>46279</v>
      </c>
      <c r="I5" s="17">
        <f t="shared" ref="I5:I43" si="0">WORKDAY(H5,G5-1)</f>
        <v>46280</v>
      </c>
      <c r="J5" s="16"/>
      <c r="K5" s="14" t="s">
        <v>47</v>
      </c>
      <c r="L5" s="18" t="s">
        <v>48</v>
      </c>
      <c r="M5" s="19" t="s">
        <v>49</v>
      </c>
    </row>
    <row r="6" spans="1:13" ht="40" customHeight="1" x14ac:dyDescent="0.35">
      <c r="A6" s="14">
        <v>2</v>
      </c>
      <c r="B6" s="15" t="s">
        <v>43</v>
      </c>
      <c r="C6" s="16" t="s">
        <v>50</v>
      </c>
      <c r="D6" s="16" t="s">
        <v>51</v>
      </c>
      <c r="E6" s="16" t="s">
        <v>46</v>
      </c>
      <c r="F6" s="14">
        <v>4</v>
      </c>
      <c r="G6" s="14">
        <f>MAX(1,ROUNDUP(F6/Assumptions!$B$8,0))</f>
        <v>3</v>
      </c>
      <c r="H6" s="17">
        <f t="shared" ref="H6:H43" si="1">WORKDAY(I5,1)</f>
        <v>46281</v>
      </c>
      <c r="I6" s="17">
        <f t="shared" si="0"/>
        <v>46283</v>
      </c>
      <c r="J6" s="16"/>
      <c r="K6" s="14" t="s">
        <v>52</v>
      </c>
      <c r="L6" s="18" t="s">
        <v>53</v>
      </c>
      <c r="M6" s="19" t="s">
        <v>54</v>
      </c>
    </row>
    <row r="7" spans="1:13" ht="40" customHeight="1" x14ac:dyDescent="0.35">
      <c r="A7" s="14">
        <v>3</v>
      </c>
      <c r="B7" s="15" t="s">
        <v>43</v>
      </c>
      <c r="C7" s="16" t="s">
        <v>55</v>
      </c>
      <c r="D7" s="16" t="s">
        <v>56</v>
      </c>
      <c r="E7" s="16" t="s">
        <v>57</v>
      </c>
      <c r="F7" s="14">
        <v>2</v>
      </c>
      <c r="G7" s="14">
        <f>MAX(1,ROUNDUP(F7/Assumptions!$B$8,0))</f>
        <v>2</v>
      </c>
      <c r="H7" s="17">
        <f t="shared" si="1"/>
        <v>46286</v>
      </c>
      <c r="I7" s="17">
        <f t="shared" si="0"/>
        <v>46287</v>
      </c>
      <c r="J7" s="16"/>
      <c r="K7" s="14" t="s">
        <v>47</v>
      </c>
      <c r="L7" s="18" t="s">
        <v>58</v>
      </c>
      <c r="M7" s="19" t="s">
        <v>59</v>
      </c>
    </row>
    <row r="8" spans="1:13" ht="40" customHeight="1" x14ac:dyDescent="0.35">
      <c r="A8" s="20">
        <v>4</v>
      </c>
      <c r="B8" s="21" t="s">
        <v>43</v>
      </c>
      <c r="C8" s="21" t="s">
        <v>60</v>
      </c>
      <c r="D8" s="21" t="s">
        <v>61</v>
      </c>
      <c r="E8" s="21" t="s">
        <v>62</v>
      </c>
      <c r="F8" s="20">
        <v>3</v>
      </c>
      <c r="G8" s="20">
        <f>MAX(1,ROUNDUP(F8/Assumptions!$B$8,0))</f>
        <v>2</v>
      </c>
      <c r="H8" s="22">
        <f t="shared" si="1"/>
        <v>46288</v>
      </c>
      <c r="I8" s="22">
        <f t="shared" si="0"/>
        <v>46289</v>
      </c>
      <c r="J8" s="23" t="s">
        <v>63</v>
      </c>
      <c r="K8" s="20" t="s">
        <v>47</v>
      </c>
      <c r="L8" s="24" t="s">
        <v>64</v>
      </c>
      <c r="M8" s="25" t="s">
        <v>59</v>
      </c>
    </row>
    <row r="9" spans="1:13" ht="40" customHeight="1" x14ac:dyDescent="0.35">
      <c r="A9" s="14">
        <v>5</v>
      </c>
      <c r="B9" s="26" t="s">
        <v>65</v>
      </c>
      <c r="C9" s="16" t="s">
        <v>66</v>
      </c>
      <c r="D9" s="16" t="s">
        <v>67</v>
      </c>
      <c r="E9" s="16" t="s">
        <v>46</v>
      </c>
      <c r="F9" s="14">
        <v>6</v>
      </c>
      <c r="G9" s="14">
        <f>MAX(1,ROUNDUP(F9/Assumptions!$B$8,0))</f>
        <v>4</v>
      </c>
      <c r="H9" s="17">
        <f t="shared" si="1"/>
        <v>46290</v>
      </c>
      <c r="I9" s="17">
        <f t="shared" si="0"/>
        <v>46295</v>
      </c>
      <c r="J9" s="16"/>
      <c r="K9" s="14" t="s">
        <v>47</v>
      </c>
      <c r="L9" s="18" t="s">
        <v>68</v>
      </c>
      <c r="M9" s="19" t="s">
        <v>59</v>
      </c>
    </row>
    <row r="10" spans="1:13" ht="40" customHeight="1" x14ac:dyDescent="0.35">
      <c r="A10" s="14">
        <v>6</v>
      </c>
      <c r="B10" s="26" t="s">
        <v>65</v>
      </c>
      <c r="C10" s="16" t="s">
        <v>69</v>
      </c>
      <c r="D10" s="16" t="s">
        <v>70</v>
      </c>
      <c r="E10" s="16" t="s">
        <v>46</v>
      </c>
      <c r="F10" s="14">
        <v>4</v>
      </c>
      <c r="G10" s="14">
        <f>MAX(1,ROUNDUP(F10/Assumptions!$B$8,0))</f>
        <v>3</v>
      </c>
      <c r="H10" s="17">
        <f t="shared" si="1"/>
        <v>46296</v>
      </c>
      <c r="I10" s="17">
        <f t="shared" si="0"/>
        <v>46300</v>
      </c>
      <c r="J10" s="16"/>
      <c r="K10" s="14" t="s">
        <v>47</v>
      </c>
      <c r="L10" s="18" t="s">
        <v>64</v>
      </c>
      <c r="M10" s="19" t="s">
        <v>59</v>
      </c>
    </row>
    <row r="11" spans="1:13" ht="40" customHeight="1" x14ac:dyDescent="0.35">
      <c r="A11" s="14">
        <v>7</v>
      </c>
      <c r="B11" s="26" t="s">
        <v>65</v>
      </c>
      <c r="C11" s="16" t="s">
        <v>71</v>
      </c>
      <c r="D11" s="16" t="s">
        <v>72</v>
      </c>
      <c r="E11" s="16" t="s">
        <v>46</v>
      </c>
      <c r="F11" s="14">
        <v>6</v>
      </c>
      <c r="G11" s="14">
        <f>MAX(1,ROUNDUP(F11/Assumptions!$B$8,0))</f>
        <v>4</v>
      </c>
      <c r="H11" s="17">
        <f t="shared" si="1"/>
        <v>46301</v>
      </c>
      <c r="I11" s="17">
        <f t="shared" si="0"/>
        <v>46304</v>
      </c>
      <c r="J11" s="16"/>
      <c r="K11" s="14" t="s">
        <v>73</v>
      </c>
      <c r="L11" s="18" t="s">
        <v>74</v>
      </c>
      <c r="M11" s="19" t="s">
        <v>59</v>
      </c>
    </row>
    <row r="12" spans="1:13" ht="40" customHeight="1" x14ac:dyDescent="0.35">
      <c r="A12" s="14">
        <v>8</v>
      </c>
      <c r="B12" s="26" t="s">
        <v>65</v>
      </c>
      <c r="C12" s="16" t="s">
        <v>75</v>
      </c>
      <c r="D12" s="16" t="s">
        <v>76</v>
      </c>
      <c r="E12" s="16" t="s">
        <v>46</v>
      </c>
      <c r="F12" s="14">
        <v>4</v>
      </c>
      <c r="G12" s="14">
        <f>MAX(1,ROUNDUP(F12/Assumptions!$B$8,0))</f>
        <v>3</v>
      </c>
      <c r="H12" s="17">
        <f t="shared" si="1"/>
        <v>46307</v>
      </c>
      <c r="I12" s="17">
        <f t="shared" si="0"/>
        <v>46309</v>
      </c>
      <c r="J12" s="16"/>
      <c r="K12" s="14" t="s">
        <v>47</v>
      </c>
      <c r="L12" s="18" t="s">
        <v>77</v>
      </c>
      <c r="M12" s="19" t="s">
        <v>59</v>
      </c>
    </row>
    <row r="13" spans="1:13" ht="40" customHeight="1" x14ac:dyDescent="0.35">
      <c r="A13" s="14">
        <v>9</v>
      </c>
      <c r="B13" s="26" t="s">
        <v>65</v>
      </c>
      <c r="C13" s="16" t="s">
        <v>78</v>
      </c>
      <c r="D13" s="16" t="s">
        <v>79</v>
      </c>
      <c r="E13" s="16" t="s">
        <v>46</v>
      </c>
      <c r="F13" s="14">
        <v>2</v>
      </c>
      <c r="G13" s="14">
        <f>MAX(1,ROUNDUP(F13/Assumptions!$B$8,0))</f>
        <v>2</v>
      </c>
      <c r="H13" s="17">
        <f t="shared" si="1"/>
        <v>46310</v>
      </c>
      <c r="I13" s="17">
        <f t="shared" si="0"/>
        <v>46311</v>
      </c>
      <c r="J13" s="16"/>
      <c r="K13" s="14" t="s">
        <v>47</v>
      </c>
      <c r="L13" s="18" t="s">
        <v>80</v>
      </c>
      <c r="M13" s="19" t="s">
        <v>59</v>
      </c>
    </row>
    <row r="14" spans="1:13" ht="40" customHeight="1" x14ac:dyDescent="0.35">
      <c r="A14" s="20">
        <v>10</v>
      </c>
      <c r="B14" s="21" t="s">
        <v>65</v>
      </c>
      <c r="C14" s="21" t="s">
        <v>81</v>
      </c>
      <c r="D14" s="21" t="s">
        <v>82</v>
      </c>
      <c r="E14" s="21" t="s">
        <v>46</v>
      </c>
      <c r="F14" s="20">
        <v>4</v>
      </c>
      <c r="G14" s="20">
        <f>MAX(1,ROUNDUP(F14/Assumptions!$B$8,0))</f>
        <v>3</v>
      </c>
      <c r="H14" s="22">
        <f t="shared" si="1"/>
        <v>46314</v>
      </c>
      <c r="I14" s="22">
        <f t="shared" si="0"/>
        <v>46316</v>
      </c>
      <c r="J14" s="23" t="s">
        <v>83</v>
      </c>
      <c r="K14" s="20" t="s">
        <v>47</v>
      </c>
      <c r="L14" s="24" t="s">
        <v>84</v>
      </c>
      <c r="M14" s="25" t="s">
        <v>59</v>
      </c>
    </row>
    <row r="15" spans="1:13" ht="40" customHeight="1" x14ac:dyDescent="0.35">
      <c r="A15" s="14">
        <v>11</v>
      </c>
      <c r="B15" s="27" t="s">
        <v>85</v>
      </c>
      <c r="C15" s="16" t="s">
        <v>86</v>
      </c>
      <c r="D15" s="16" t="s">
        <v>87</v>
      </c>
      <c r="E15" s="16" t="s">
        <v>46</v>
      </c>
      <c r="F15" s="14">
        <v>6</v>
      </c>
      <c r="G15" s="14">
        <f>MAX(1,ROUNDUP(F15/Assumptions!$B$8,0))</f>
        <v>4</v>
      </c>
      <c r="H15" s="17">
        <f t="shared" si="1"/>
        <v>46317</v>
      </c>
      <c r="I15" s="17">
        <f t="shared" si="0"/>
        <v>46322</v>
      </c>
      <c r="J15" s="16"/>
      <c r="K15" s="14" t="s">
        <v>47</v>
      </c>
      <c r="L15" s="18" t="s">
        <v>88</v>
      </c>
      <c r="M15" s="19" t="s">
        <v>49</v>
      </c>
    </row>
    <row r="16" spans="1:13" ht="40" customHeight="1" x14ac:dyDescent="0.35">
      <c r="A16" s="14">
        <v>12</v>
      </c>
      <c r="B16" s="27" t="s">
        <v>85</v>
      </c>
      <c r="C16" s="16" t="s">
        <v>89</v>
      </c>
      <c r="D16" s="16" t="s">
        <v>90</v>
      </c>
      <c r="E16" s="16" t="s">
        <v>46</v>
      </c>
      <c r="F16" s="14">
        <v>5</v>
      </c>
      <c r="G16" s="14">
        <f>MAX(1,ROUNDUP(F16/Assumptions!$B$8,0))</f>
        <v>4</v>
      </c>
      <c r="H16" s="17">
        <f t="shared" si="1"/>
        <v>46323</v>
      </c>
      <c r="I16" s="17">
        <f t="shared" si="0"/>
        <v>46328</v>
      </c>
      <c r="J16" s="16"/>
      <c r="K16" s="14" t="s">
        <v>47</v>
      </c>
      <c r="L16" s="18" t="s">
        <v>91</v>
      </c>
      <c r="M16" s="19" t="s">
        <v>92</v>
      </c>
    </row>
    <row r="17" spans="1:13" ht="40" customHeight="1" x14ac:dyDescent="0.35">
      <c r="A17" s="14">
        <v>13</v>
      </c>
      <c r="B17" s="27" t="s">
        <v>85</v>
      </c>
      <c r="C17" s="16" t="s">
        <v>93</v>
      </c>
      <c r="D17" s="16" t="s">
        <v>94</v>
      </c>
      <c r="E17" s="16" t="s">
        <v>46</v>
      </c>
      <c r="F17" s="14">
        <v>5</v>
      </c>
      <c r="G17" s="14">
        <f>MAX(1,ROUNDUP(F17/Assumptions!$B$8,0))</f>
        <v>4</v>
      </c>
      <c r="H17" s="17">
        <f t="shared" si="1"/>
        <v>46329</v>
      </c>
      <c r="I17" s="17">
        <f t="shared" si="0"/>
        <v>46332</v>
      </c>
      <c r="J17" s="16"/>
      <c r="K17" s="14" t="s">
        <v>73</v>
      </c>
      <c r="L17" s="18" t="s">
        <v>95</v>
      </c>
      <c r="M17" s="19" t="s">
        <v>96</v>
      </c>
    </row>
    <row r="18" spans="1:13" ht="40" customHeight="1" x14ac:dyDescent="0.35">
      <c r="A18" s="20">
        <v>14</v>
      </c>
      <c r="B18" s="21" t="s">
        <v>85</v>
      </c>
      <c r="C18" s="21" t="s">
        <v>97</v>
      </c>
      <c r="D18" s="21" t="s">
        <v>98</v>
      </c>
      <c r="E18" s="21" t="s">
        <v>46</v>
      </c>
      <c r="F18" s="20">
        <v>4</v>
      </c>
      <c r="G18" s="20">
        <f>MAX(1,ROUNDUP(F18/Assumptions!$B$8,0))</f>
        <v>3</v>
      </c>
      <c r="H18" s="22">
        <f t="shared" si="1"/>
        <v>46335</v>
      </c>
      <c r="I18" s="22">
        <f t="shared" si="0"/>
        <v>46337</v>
      </c>
      <c r="J18" s="23" t="s">
        <v>99</v>
      </c>
      <c r="K18" s="20" t="s">
        <v>73</v>
      </c>
      <c r="L18" s="24" t="s">
        <v>100</v>
      </c>
      <c r="M18" s="25" t="s">
        <v>101</v>
      </c>
    </row>
    <row r="19" spans="1:13" ht="40" customHeight="1" x14ac:dyDescent="0.35">
      <c r="A19" s="14">
        <v>15</v>
      </c>
      <c r="B19" s="28" t="s">
        <v>102</v>
      </c>
      <c r="C19" s="16" t="s">
        <v>103</v>
      </c>
      <c r="D19" s="16" t="s">
        <v>104</v>
      </c>
      <c r="E19" s="16" t="s">
        <v>46</v>
      </c>
      <c r="F19" s="14">
        <v>5</v>
      </c>
      <c r="G19" s="14">
        <f>MAX(1,ROUNDUP(F19/Assumptions!$B$8,0))</f>
        <v>4</v>
      </c>
      <c r="H19" s="17">
        <f t="shared" si="1"/>
        <v>46338</v>
      </c>
      <c r="I19" s="17">
        <f t="shared" si="0"/>
        <v>46343</v>
      </c>
      <c r="J19" s="16"/>
      <c r="K19" s="14" t="s">
        <v>73</v>
      </c>
      <c r="L19" s="18" t="s">
        <v>53</v>
      </c>
      <c r="M19" s="19" t="s">
        <v>54</v>
      </c>
    </row>
    <row r="20" spans="1:13" ht="40" customHeight="1" x14ac:dyDescent="0.35">
      <c r="A20" s="14">
        <v>16</v>
      </c>
      <c r="B20" s="28" t="s">
        <v>102</v>
      </c>
      <c r="C20" s="16" t="s">
        <v>105</v>
      </c>
      <c r="D20" s="16" t="s">
        <v>106</v>
      </c>
      <c r="E20" s="16" t="s">
        <v>46</v>
      </c>
      <c r="F20" s="14">
        <v>5</v>
      </c>
      <c r="G20" s="14">
        <f>MAX(1,ROUNDUP(F20/Assumptions!$B$8,0))</f>
        <v>4</v>
      </c>
      <c r="H20" s="17">
        <f t="shared" si="1"/>
        <v>46344</v>
      </c>
      <c r="I20" s="17">
        <f t="shared" si="0"/>
        <v>46349</v>
      </c>
      <c r="J20" s="16"/>
      <c r="K20" s="14" t="s">
        <v>73</v>
      </c>
      <c r="L20" s="18" t="s">
        <v>107</v>
      </c>
      <c r="M20" s="19" t="s">
        <v>108</v>
      </c>
    </row>
    <row r="21" spans="1:13" ht="40" customHeight="1" x14ac:dyDescent="0.35">
      <c r="A21" s="14">
        <v>17</v>
      </c>
      <c r="B21" s="28" t="s">
        <v>102</v>
      </c>
      <c r="C21" s="16" t="s">
        <v>109</v>
      </c>
      <c r="D21" s="16" t="s">
        <v>110</v>
      </c>
      <c r="E21" s="16" t="s">
        <v>46</v>
      </c>
      <c r="F21" s="14">
        <v>5</v>
      </c>
      <c r="G21" s="14">
        <f>MAX(1,ROUNDUP(F21/Assumptions!$B$8,0))</f>
        <v>4</v>
      </c>
      <c r="H21" s="17">
        <f t="shared" si="1"/>
        <v>46350</v>
      </c>
      <c r="I21" s="17">
        <f t="shared" si="0"/>
        <v>46353</v>
      </c>
      <c r="J21" s="16"/>
      <c r="K21" s="14" t="s">
        <v>73</v>
      </c>
      <c r="L21" s="18" t="s">
        <v>107</v>
      </c>
      <c r="M21" s="19" t="s">
        <v>111</v>
      </c>
    </row>
    <row r="22" spans="1:13" ht="40" customHeight="1" x14ac:dyDescent="0.35">
      <c r="A22" s="14">
        <v>18</v>
      </c>
      <c r="B22" s="28" t="s">
        <v>102</v>
      </c>
      <c r="C22" s="16" t="s">
        <v>112</v>
      </c>
      <c r="D22" s="16" t="s">
        <v>113</v>
      </c>
      <c r="E22" s="16" t="s">
        <v>46</v>
      </c>
      <c r="F22" s="14">
        <v>6</v>
      </c>
      <c r="G22" s="14">
        <f>MAX(1,ROUNDUP(F22/Assumptions!$B$8,0))</f>
        <v>4</v>
      </c>
      <c r="H22" s="17">
        <f t="shared" si="1"/>
        <v>46356</v>
      </c>
      <c r="I22" s="17">
        <f t="shared" si="0"/>
        <v>46359</v>
      </c>
      <c r="J22" s="16"/>
      <c r="K22" s="14" t="s">
        <v>52</v>
      </c>
      <c r="L22" s="18" t="s">
        <v>107</v>
      </c>
      <c r="M22" s="19" t="s">
        <v>114</v>
      </c>
    </row>
    <row r="23" spans="1:13" ht="40" customHeight="1" x14ac:dyDescent="0.35">
      <c r="A23" s="14">
        <v>19</v>
      </c>
      <c r="B23" s="28" t="s">
        <v>102</v>
      </c>
      <c r="C23" s="16" t="s">
        <v>115</v>
      </c>
      <c r="D23" s="16" t="s">
        <v>116</v>
      </c>
      <c r="E23" s="16" t="s">
        <v>46</v>
      </c>
      <c r="F23" s="14">
        <v>7</v>
      </c>
      <c r="G23" s="14">
        <f>MAX(1,ROUNDUP(F23/Assumptions!$B$8,0))</f>
        <v>5</v>
      </c>
      <c r="H23" s="17">
        <f t="shared" si="1"/>
        <v>46360</v>
      </c>
      <c r="I23" s="17">
        <f t="shared" si="0"/>
        <v>46366</v>
      </c>
      <c r="J23" s="16"/>
      <c r="K23" s="14" t="s">
        <v>52</v>
      </c>
      <c r="L23" s="18" t="s">
        <v>107</v>
      </c>
      <c r="M23" s="19" t="s">
        <v>54</v>
      </c>
    </row>
    <row r="24" spans="1:13" ht="40" customHeight="1" x14ac:dyDescent="0.35">
      <c r="A24" s="14">
        <v>20</v>
      </c>
      <c r="B24" s="28" t="s">
        <v>102</v>
      </c>
      <c r="C24" s="16" t="s">
        <v>117</v>
      </c>
      <c r="D24" s="16" t="s">
        <v>118</v>
      </c>
      <c r="E24" s="16" t="s">
        <v>46</v>
      </c>
      <c r="F24" s="14">
        <v>5</v>
      </c>
      <c r="G24" s="14">
        <f>MAX(1,ROUNDUP(F24/Assumptions!$B$8,0))</f>
        <v>4</v>
      </c>
      <c r="H24" s="17">
        <f t="shared" si="1"/>
        <v>46367</v>
      </c>
      <c r="I24" s="17">
        <f t="shared" si="0"/>
        <v>46372</v>
      </c>
      <c r="J24" s="16"/>
      <c r="K24" s="14" t="s">
        <v>73</v>
      </c>
      <c r="L24" s="18" t="s">
        <v>119</v>
      </c>
      <c r="M24" s="19" t="s">
        <v>120</v>
      </c>
    </row>
    <row r="25" spans="1:13" ht="40" customHeight="1" x14ac:dyDescent="0.35">
      <c r="A25" s="14">
        <v>21</v>
      </c>
      <c r="B25" s="28" t="s">
        <v>102</v>
      </c>
      <c r="C25" s="16" t="s">
        <v>121</v>
      </c>
      <c r="D25" s="16" t="s">
        <v>122</v>
      </c>
      <c r="E25" s="16" t="s">
        <v>46</v>
      </c>
      <c r="F25" s="14">
        <v>6</v>
      </c>
      <c r="G25" s="14">
        <f>MAX(1,ROUNDUP(F25/Assumptions!$B$8,0))</f>
        <v>4</v>
      </c>
      <c r="H25" s="17">
        <f t="shared" si="1"/>
        <v>46373</v>
      </c>
      <c r="I25" s="17">
        <f t="shared" si="0"/>
        <v>46378</v>
      </c>
      <c r="J25" s="16"/>
      <c r="K25" s="14" t="s">
        <v>52</v>
      </c>
      <c r="L25" s="18" t="s">
        <v>123</v>
      </c>
      <c r="M25" s="19" t="s">
        <v>120</v>
      </c>
    </row>
    <row r="26" spans="1:13" ht="40" customHeight="1" x14ac:dyDescent="0.35">
      <c r="A26" s="20">
        <v>22</v>
      </c>
      <c r="B26" s="21" t="s">
        <v>102</v>
      </c>
      <c r="C26" s="21" t="s">
        <v>124</v>
      </c>
      <c r="D26" s="21" t="s">
        <v>125</v>
      </c>
      <c r="E26" s="21" t="s">
        <v>126</v>
      </c>
      <c r="F26" s="20">
        <v>6</v>
      </c>
      <c r="G26" s="20">
        <f>MAX(1,ROUNDUP(F26/Assumptions!$B$8,0))</f>
        <v>4</v>
      </c>
      <c r="H26" s="22">
        <f t="shared" si="1"/>
        <v>46379</v>
      </c>
      <c r="I26" s="22">
        <f t="shared" si="0"/>
        <v>46384</v>
      </c>
      <c r="J26" s="23" t="s">
        <v>127</v>
      </c>
      <c r="K26" s="20" t="s">
        <v>52</v>
      </c>
      <c r="L26" s="24" t="s">
        <v>107</v>
      </c>
      <c r="M26" s="25" t="s">
        <v>54</v>
      </c>
    </row>
    <row r="27" spans="1:13" ht="40" customHeight="1" x14ac:dyDescent="0.35">
      <c r="A27" s="14">
        <v>23</v>
      </c>
      <c r="B27" s="29" t="s">
        <v>128</v>
      </c>
      <c r="C27" s="16" t="s">
        <v>129</v>
      </c>
      <c r="D27" s="16" t="s">
        <v>130</v>
      </c>
      <c r="E27" s="16" t="s">
        <v>46</v>
      </c>
      <c r="F27" s="14">
        <v>4</v>
      </c>
      <c r="G27" s="14">
        <f>MAX(1,ROUNDUP(F27/Assumptions!$B$8,0))</f>
        <v>3</v>
      </c>
      <c r="H27" s="17">
        <f t="shared" si="1"/>
        <v>46385</v>
      </c>
      <c r="I27" s="17">
        <f t="shared" si="0"/>
        <v>46387</v>
      </c>
      <c r="J27" s="16"/>
      <c r="K27" s="14" t="s">
        <v>73</v>
      </c>
      <c r="L27" s="18" t="s">
        <v>131</v>
      </c>
      <c r="M27" s="19" t="s">
        <v>101</v>
      </c>
    </row>
    <row r="28" spans="1:13" ht="40" customHeight="1" x14ac:dyDescent="0.35">
      <c r="A28" s="14">
        <v>24</v>
      </c>
      <c r="B28" s="29" t="s">
        <v>128</v>
      </c>
      <c r="C28" s="16" t="s">
        <v>132</v>
      </c>
      <c r="D28" s="16" t="s">
        <v>133</v>
      </c>
      <c r="E28" s="16" t="s">
        <v>46</v>
      </c>
      <c r="F28" s="14">
        <v>6</v>
      </c>
      <c r="G28" s="14">
        <f>MAX(1,ROUNDUP(F28/Assumptions!$B$8,0))</f>
        <v>4</v>
      </c>
      <c r="H28" s="17">
        <f t="shared" si="1"/>
        <v>46388</v>
      </c>
      <c r="I28" s="17">
        <f t="shared" si="0"/>
        <v>46393</v>
      </c>
      <c r="J28" s="16"/>
      <c r="K28" s="14" t="s">
        <v>73</v>
      </c>
      <c r="L28" s="18" t="s">
        <v>134</v>
      </c>
      <c r="M28" s="19" t="s">
        <v>101</v>
      </c>
    </row>
    <row r="29" spans="1:13" ht="40" customHeight="1" x14ac:dyDescent="0.35">
      <c r="A29" s="14">
        <v>25</v>
      </c>
      <c r="B29" s="29" t="s">
        <v>128</v>
      </c>
      <c r="C29" s="16" t="s">
        <v>135</v>
      </c>
      <c r="D29" s="16" t="s">
        <v>136</v>
      </c>
      <c r="E29" s="16" t="s">
        <v>46</v>
      </c>
      <c r="F29" s="14">
        <v>4</v>
      </c>
      <c r="G29" s="14">
        <f>MAX(1,ROUNDUP(F29/Assumptions!$B$8,0))</f>
        <v>3</v>
      </c>
      <c r="H29" s="17">
        <f t="shared" si="1"/>
        <v>46394</v>
      </c>
      <c r="I29" s="17">
        <f t="shared" si="0"/>
        <v>46398</v>
      </c>
      <c r="J29" s="16"/>
      <c r="K29" s="14" t="s">
        <v>73</v>
      </c>
      <c r="L29" s="18" t="s">
        <v>137</v>
      </c>
      <c r="M29" s="19" t="s">
        <v>101</v>
      </c>
    </row>
    <row r="30" spans="1:13" ht="40" customHeight="1" x14ac:dyDescent="0.35">
      <c r="A30" s="20">
        <v>26</v>
      </c>
      <c r="B30" s="21" t="s">
        <v>128</v>
      </c>
      <c r="C30" s="21" t="s">
        <v>138</v>
      </c>
      <c r="D30" s="21" t="s">
        <v>139</v>
      </c>
      <c r="E30" s="21" t="s">
        <v>46</v>
      </c>
      <c r="F30" s="20">
        <v>4</v>
      </c>
      <c r="G30" s="20">
        <f>MAX(1,ROUNDUP(F30/Assumptions!$B$8,0))</f>
        <v>3</v>
      </c>
      <c r="H30" s="22">
        <f t="shared" si="1"/>
        <v>46399</v>
      </c>
      <c r="I30" s="22">
        <f t="shared" si="0"/>
        <v>46401</v>
      </c>
      <c r="J30" s="23" t="s">
        <v>140</v>
      </c>
      <c r="K30" s="20" t="s">
        <v>47</v>
      </c>
      <c r="L30" s="24" t="s">
        <v>141</v>
      </c>
      <c r="M30" s="25" t="s">
        <v>101</v>
      </c>
    </row>
    <row r="31" spans="1:13" ht="40" customHeight="1" x14ac:dyDescent="0.35">
      <c r="A31" s="14">
        <v>27</v>
      </c>
      <c r="B31" s="30" t="s">
        <v>142</v>
      </c>
      <c r="C31" s="16" t="s">
        <v>143</v>
      </c>
      <c r="D31" s="16" t="s">
        <v>144</v>
      </c>
      <c r="E31" s="16" t="s">
        <v>145</v>
      </c>
      <c r="F31" s="14">
        <v>5</v>
      </c>
      <c r="G31" s="14">
        <f>MAX(1,ROUNDUP(F31/Assumptions!$B$8,0))</f>
        <v>4</v>
      </c>
      <c r="H31" s="17">
        <f t="shared" si="1"/>
        <v>46402</v>
      </c>
      <c r="I31" s="17">
        <f t="shared" si="0"/>
        <v>46407</v>
      </c>
      <c r="J31" s="16"/>
      <c r="K31" s="14" t="s">
        <v>47</v>
      </c>
      <c r="L31" s="18" t="s">
        <v>146</v>
      </c>
      <c r="M31" s="19" t="s">
        <v>147</v>
      </c>
    </row>
    <row r="32" spans="1:13" ht="40" customHeight="1" x14ac:dyDescent="0.35">
      <c r="A32" s="14">
        <v>28</v>
      </c>
      <c r="B32" s="30" t="s">
        <v>142</v>
      </c>
      <c r="C32" s="16" t="s">
        <v>148</v>
      </c>
      <c r="D32" s="16" t="s">
        <v>149</v>
      </c>
      <c r="E32" s="16" t="s">
        <v>145</v>
      </c>
      <c r="F32" s="14">
        <v>4</v>
      </c>
      <c r="G32" s="14">
        <f>MAX(1,ROUNDUP(F32/Assumptions!$B$8,0))</f>
        <v>3</v>
      </c>
      <c r="H32" s="17">
        <f t="shared" si="1"/>
        <v>46408</v>
      </c>
      <c r="I32" s="17">
        <f t="shared" si="0"/>
        <v>46412</v>
      </c>
      <c r="J32" s="16"/>
      <c r="K32" s="14" t="s">
        <v>47</v>
      </c>
      <c r="L32" s="18" t="s">
        <v>150</v>
      </c>
      <c r="M32" s="19" t="s">
        <v>147</v>
      </c>
    </row>
    <row r="33" spans="1:13" ht="40" customHeight="1" x14ac:dyDescent="0.35">
      <c r="A33" s="14">
        <v>29</v>
      </c>
      <c r="B33" s="30" t="s">
        <v>142</v>
      </c>
      <c r="C33" s="16" t="s">
        <v>151</v>
      </c>
      <c r="D33" s="16" t="s">
        <v>152</v>
      </c>
      <c r="E33" s="16" t="s">
        <v>145</v>
      </c>
      <c r="F33" s="14">
        <v>7</v>
      </c>
      <c r="G33" s="14">
        <f>MAX(1,ROUNDUP(F33/Assumptions!$B$8,0))</f>
        <v>5</v>
      </c>
      <c r="H33" s="17">
        <f t="shared" si="1"/>
        <v>46413</v>
      </c>
      <c r="I33" s="17">
        <f t="shared" si="0"/>
        <v>46419</v>
      </c>
      <c r="J33" s="16"/>
      <c r="K33" s="14" t="s">
        <v>73</v>
      </c>
      <c r="L33" s="18" t="s">
        <v>153</v>
      </c>
      <c r="M33" s="19" t="s">
        <v>147</v>
      </c>
    </row>
    <row r="34" spans="1:13" ht="40" customHeight="1" x14ac:dyDescent="0.35">
      <c r="A34" s="14">
        <v>30</v>
      </c>
      <c r="B34" s="30" t="s">
        <v>142</v>
      </c>
      <c r="C34" s="16" t="s">
        <v>154</v>
      </c>
      <c r="D34" s="16" t="s">
        <v>155</v>
      </c>
      <c r="E34" s="16" t="s">
        <v>145</v>
      </c>
      <c r="F34" s="14">
        <v>5</v>
      </c>
      <c r="G34" s="14">
        <f>MAX(1,ROUNDUP(F34/Assumptions!$B$8,0))</f>
        <v>4</v>
      </c>
      <c r="H34" s="17">
        <f t="shared" si="1"/>
        <v>46420</v>
      </c>
      <c r="I34" s="17">
        <f t="shared" si="0"/>
        <v>46423</v>
      </c>
      <c r="J34" s="16"/>
      <c r="K34" s="14" t="s">
        <v>47</v>
      </c>
      <c r="L34" s="18" t="s">
        <v>156</v>
      </c>
      <c r="M34" s="19" t="s">
        <v>147</v>
      </c>
    </row>
    <row r="35" spans="1:13" ht="40" customHeight="1" x14ac:dyDescent="0.35">
      <c r="A35" s="14">
        <v>31</v>
      </c>
      <c r="B35" s="30" t="s">
        <v>142</v>
      </c>
      <c r="C35" s="16" t="s">
        <v>157</v>
      </c>
      <c r="D35" s="16" t="s">
        <v>158</v>
      </c>
      <c r="E35" s="16" t="s">
        <v>145</v>
      </c>
      <c r="F35" s="14">
        <v>3</v>
      </c>
      <c r="G35" s="14">
        <f>MAX(1,ROUNDUP(F35/Assumptions!$B$8,0))</f>
        <v>2</v>
      </c>
      <c r="H35" s="17">
        <f t="shared" si="1"/>
        <v>46426</v>
      </c>
      <c r="I35" s="17">
        <f t="shared" si="0"/>
        <v>46427</v>
      </c>
      <c r="J35" s="16"/>
      <c r="K35" s="14" t="s">
        <v>47</v>
      </c>
      <c r="L35" s="18" t="s">
        <v>159</v>
      </c>
      <c r="M35" s="19" t="s">
        <v>147</v>
      </c>
    </row>
    <row r="36" spans="1:13" ht="40" customHeight="1" x14ac:dyDescent="0.35">
      <c r="A36" s="20">
        <v>32</v>
      </c>
      <c r="B36" s="21" t="s">
        <v>142</v>
      </c>
      <c r="C36" s="21" t="s">
        <v>160</v>
      </c>
      <c r="D36" s="21" t="s">
        <v>161</v>
      </c>
      <c r="E36" s="21" t="s">
        <v>145</v>
      </c>
      <c r="F36" s="20">
        <v>2</v>
      </c>
      <c r="G36" s="20">
        <f>MAX(1,ROUNDUP(F36/Assumptions!$B$8,0))</f>
        <v>2</v>
      </c>
      <c r="H36" s="22">
        <f t="shared" si="1"/>
        <v>46428</v>
      </c>
      <c r="I36" s="22">
        <f t="shared" si="0"/>
        <v>46429</v>
      </c>
      <c r="J36" s="23" t="s">
        <v>162</v>
      </c>
      <c r="K36" s="20" t="s">
        <v>47</v>
      </c>
      <c r="L36" s="24" t="s">
        <v>163</v>
      </c>
      <c r="M36" s="25" t="s">
        <v>147</v>
      </c>
    </row>
    <row r="37" spans="1:13" ht="40" customHeight="1" x14ac:dyDescent="0.35">
      <c r="A37" s="14">
        <v>33</v>
      </c>
      <c r="B37" s="31" t="s">
        <v>164</v>
      </c>
      <c r="C37" s="16" t="s">
        <v>165</v>
      </c>
      <c r="D37" s="16" t="s">
        <v>166</v>
      </c>
      <c r="E37" s="16" t="s">
        <v>62</v>
      </c>
      <c r="F37" s="14">
        <v>2</v>
      </c>
      <c r="G37" s="14">
        <f>MAX(1,ROUNDUP(F37/Assumptions!$B$8,0))</f>
        <v>2</v>
      </c>
      <c r="H37" s="17">
        <f t="shared" si="1"/>
        <v>46430</v>
      </c>
      <c r="I37" s="17">
        <f t="shared" si="0"/>
        <v>46433</v>
      </c>
      <c r="J37" s="16"/>
      <c r="K37" s="14" t="s">
        <v>47</v>
      </c>
      <c r="L37" s="18" t="s">
        <v>167</v>
      </c>
      <c r="M37" s="19" t="s">
        <v>168</v>
      </c>
    </row>
    <row r="38" spans="1:13" ht="40" customHeight="1" x14ac:dyDescent="0.35">
      <c r="A38" s="14">
        <v>34</v>
      </c>
      <c r="B38" s="31" t="s">
        <v>164</v>
      </c>
      <c r="C38" s="16" t="s">
        <v>169</v>
      </c>
      <c r="D38" s="16" t="s">
        <v>170</v>
      </c>
      <c r="E38" s="16" t="s">
        <v>46</v>
      </c>
      <c r="F38" s="14">
        <v>4</v>
      </c>
      <c r="G38" s="14">
        <f>MAX(1,ROUNDUP(F38/Assumptions!$B$8,0))</f>
        <v>3</v>
      </c>
      <c r="H38" s="17">
        <f t="shared" si="1"/>
        <v>46434</v>
      </c>
      <c r="I38" s="17">
        <f t="shared" si="0"/>
        <v>46436</v>
      </c>
      <c r="J38" s="16"/>
      <c r="K38" s="14" t="s">
        <v>73</v>
      </c>
      <c r="L38" s="18" t="s">
        <v>58</v>
      </c>
      <c r="M38" s="19" t="s">
        <v>168</v>
      </c>
    </row>
    <row r="39" spans="1:13" ht="40" customHeight="1" x14ac:dyDescent="0.35">
      <c r="A39" s="14">
        <v>35</v>
      </c>
      <c r="B39" s="31" t="s">
        <v>164</v>
      </c>
      <c r="C39" s="16" t="s">
        <v>171</v>
      </c>
      <c r="D39" s="16" t="s">
        <v>172</v>
      </c>
      <c r="E39" s="16" t="s">
        <v>62</v>
      </c>
      <c r="F39" s="14">
        <v>3</v>
      </c>
      <c r="G39" s="14">
        <f>MAX(1,ROUNDUP(F39/Assumptions!$B$8,0))</f>
        <v>2</v>
      </c>
      <c r="H39" s="17">
        <f t="shared" si="1"/>
        <v>46437</v>
      </c>
      <c r="I39" s="17">
        <f t="shared" si="0"/>
        <v>46440</v>
      </c>
      <c r="J39" s="16"/>
      <c r="K39" s="14" t="s">
        <v>47</v>
      </c>
      <c r="L39" s="18" t="s">
        <v>173</v>
      </c>
      <c r="M39" s="19" t="s">
        <v>168</v>
      </c>
    </row>
    <row r="40" spans="1:13" ht="40" customHeight="1" x14ac:dyDescent="0.35">
      <c r="A40" s="14">
        <v>36</v>
      </c>
      <c r="B40" s="31" t="s">
        <v>164</v>
      </c>
      <c r="C40" s="16" t="s">
        <v>174</v>
      </c>
      <c r="D40" s="16" t="s">
        <v>175</v>
      </c>
      <c r="E40" s="16" t="s">
        <v>176</v>
      </c>
      <c r="F40" s="14">
        <v>5</v>
      </c>
      <c r="G40" s="14">
        <f>MAX(1,ROUNDUP(F40/Assumptions!$B$8,0))</f>
        <v>4</v>
      </c>
      <c r="H40" s="17">
        <f t="shared" si="1"/>
        <v>46441</v>
      </c>
      <c r="I40" s="17">
        <f t="shared" si="0"/>
        <v>46444</v>
      </c>
      <c r="J40" s="16"/>
      <c r="K40" s="14" t="s">
        <v>73</v>
      </c>
      <c r="L40" s="18" t="s">
        <v>177</v>
      </c>
      <c r="M40" s="19" t="s">
        <v>168</v>
      </c>
    </row>
    <row r="41" spans="1:13" ht="40" customHeight="1" x14ac:dyDescent="0.35">
      <c r="A41" s="14">
        <v>37</v>
      </c>
      <c r="B41" s="31" t="s">
        <v>164</v>
      </c>
      <c r="C41" s="16" t="s">
        <v>178</v>
      </c>
      <c r="D41" s="16" t="s">
        <v>179</v>
      </c>
      <c r="E41" s="16" t="s">
        <v>62</v>
      </c>
      <c r="F41" s="14">
        <v>3</v>
      </c>
      <c r="G41" s="14">
        <f>MAX(1,ROUNDUP(F41/Assumptions!$B$8,0))</f>
        <v>2</v>
      </c>
      <c r="H41" s="17">
        <f t="shared" si="1"/>
        <v>46447</v>
      </c>
      <c r="I41" s="17">
        <f t="shared" si="0"/>
        <v>46448</v>
      </c>
      <c r="J41" s="16"/>
      <c r="K41" s="14" t="s">
        <v>47</v>
      </c>
      <c r="L41" s="18" t="s">
        <v>180</v>
      </c>
      <c r="M41" s="19" t="s">
        <v>168</v>
      </c>
    </row>
    <row r="42" spans="1:13" ht="40" customHeight="1" x14ac:dyDescent="0.35">
      <c r="A42" s="14">
        <v>38</v>
      </c>
      <c r="B42" s="31" t="s">
        <v>164</v>
      </c>
      <c r="C42" s="16" t="s">
        <v>181</v>
      </c>
      <c r="D42" s="16" t="s">
        <v>182</v>
      </c>
      <c r="E42" s="16" t="s">
        <v>183</v>
      </c>
      <c r="F42" s="14">
        <v>5</v>
      </c>
      <c r="G42" s="14">
        <f>MAX(1,ROUNDUP(F42/Assumptions!$B$8,0))</f>
        <v>4</v>
      </c>
      <c r="H42" s="17">
        <f t="shared" si="1"/>
        <v>46449</v>
      </c>
      <c r="I42" s="17">
        <f t="shared" si="0"/>
        <v>46454</v>
      </c>
      <c r="J42" s="16"/>
      <c r="K42" s="14" t="s">
        <v>73</v>
      </c>
      <c r="L42" s="18" t="s">
        <v>184</v>
      </c>
      <c r="M42" s="19" t="s">
        <v>168</v>
      </c>
    </row>
    <row r="43" spans="1:13" ht="40" customHeight="1" x14ac:dyDescent="0.35">
      <c r="A43" s="20">
        <v>39</v>
      </c>
      <c r="B43" s="21" t="s">
        <v>164</v>
      </c>
      <c r="C43" s="21" t="s">
        <v>185</v>
      </c>
      <c r="D43" s="21" t="s">
        <v>186</v>
      </c>
      <c r="E43" s="21" t="s">
        <v>62</v>
      </c>
      <c r="F43" s="20">
        <v>2</v>
      </c>
      <c r="G43" s="20">
        <f>MAX(1,ROUNDUP(F43/Assumptions!$B$8,0))</f>
        <v>2</v>
      </c>
      <c r="H43" s="22">
        <f t="shared" si="1"/>
        <v>46455</v>
      </c>
      <c r="I43" s="22">
        <f t="shared" si="0"/>
        <v>46456</v>
      </c>
      <c r="J43" s="23" t="s">
        <v>187</v>
      </c>
      <c r="K43" s="20" t="s">
        <v>47</v>
      </c>
      <c r="L43" s="24" t="s">
        <v>184</v>
      </c>
      <c r="M43" s="25" t="s">
        <v>168</v>
      </c>
    </row>
    <row r="44" spans="1:13" x14ac:dyDescent="0.35">
      <c r="A44" s="32"/>
      <c r="B44" s="32"/>
      <c r="C44" s="32"/>
      <c r="D44" s="32"/>
      <c r="E44" s="32" t="s">
        <v>188</v>
      </c>
      <c r="F44" s="33">
        <f>SUM(F5:F43)</f>
        <v>171</v>
      </c>
      <c r="G44" s="33">
        <f>SUM(G5:G43)</f>
        <v>128</v>
      </c>
      <c r="H44" s="32"/>
      <c r="I44" s="34">
        <f>I43</f>
        <v>46456</v>
      </c>
      <c r="J44" s="32"/>
      <c r="K44" s="32"/>
      <c r="L44" s="32"/>
      <c r="M44" s="32"/>
    </row>
  </sheetData>
  <autoFilter ref="A4:M43" xr:uid="{00000000-0009-0000-0000-000001000000}"/>
  <mergeCells count="1"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/>
  </sheetViews>
  <sheetFormatPr defaultRowHeight="14.5" x14ac:dyDescent="0.35"/>
  <cols>
    <col min="1" max="1" width="30" customWidth="1"/>
    <col min="2" max="2" width="26" customWidth="1"/>
    <col min="3" max="3" width="62" customWidth="1"/>
    <col min="4" max="4" width="13" customWidth="1"/>
    <col min="5" max="5" width="16" customWidth="1"/>
    <col min="6" max="6" width="12" customWidth="1"/>
  </cols>
  <sheetData>
    <row r="1" spans="1:6" ht="18" x14ac:dyDescent="0.4">
      <c r="A1" s="1" t="s">
        <v>189</v>
      </c>
    </row>
    <row r="2" spans="1:6" x14ac:dyDescent="0.35">
      <c r="A2" s="2" t="s">
        <v>190</v>
      </c>
    </row>
    <row r="4" spans="1:6" ht="32" customHeight="1" x14ac:dyDescent="0.35">
      <c r="A4" s="13" t="s">
        <v>39</v>
      </c>
      <c r="B4" s="13" t="s">
        <v>31</v>
      </c>
      <c r="C4" s="13" t="s">
        <v>191</v>
      </c>
      <c r="D4" s="13" t="s">
        <v>192</v>
      </c>
      <c r="E4" s="13" t="s">
        <v>193</v>
      </c>
      <c r="F4" s="13" t="s">
        <v>40</v>
      </c>
    </row>
    <row r="5" spans="1:6" ht="40" customHeight="1" x14ac:dyDescent="0.35">
      <c r="A5" s="35" t="s">
        <v>63</v>
      </c>
      <c r="B5" s="16" t="s">
        <v>43</v>
      </c>
      <c r="C5" s="16" t="s">
        <v>194</v>
      </c>
      <c r="D5" s="36">
        <f>Roadmap!I8</f>
        <v>46289</v>
      </c>
      <c r="E5" s="14">
        <f>SUM(Roadmap!F5:F8)</f>
        <v>12</v>
      </c>
      <c r="F5" s="14" t="s">
        <v>47</v>
      </c>
    </row>
    <row r="6" spans="1:6" ht="40" customHeight="1" x14ac:dyDescent="0.35">
      <c r="A6" s="35" t="s">
        <v>83</v>
      </c>
      <c r="B6" s="16" t="s">
        <v>65</v>
      </c>
      <c r="C6" s="16" t="s">
        <v>195</v>
      </c>
      <c r="D6" s="36">
        <f>Roadmap!I14</f>
        <v>46316</v>
      </c>
      <c r="E6" s="14">
        <f>SUM(Roadmap!F5:F14)</f>
        <v>38</v>
      </c>
      <c r="F6" s="14" t="s">
        <v>47</v>
      </c>
    </row>
    <row r="7" spans="1:6" ht="40" customHeight="1" x14ac:dyDescent="0.35">
      <c r="A7" s="37" t="s">
        <v>99</v>
      </c>
      <c r="B7" s="27" t="s">
        <v>85</v>
      </c>
      <c r="C7" s="27" t="s">
        <v>196</v>
      </c>
      <c r="D7" s="38">
        <f>Roadmap!I18</f>
        <v>46337</v>
      </c>
      <c r="E7" s="39">
        <f>SUM(Roadmap!F5:F18)</f>
        <v>58</v>
      </c>
      <c r="F7" s="39" t="s">
        <v>47</v>
      </c>
    </row>
    <row r="8" spans="1:6" ht="40" customHeight="1" x14ac:dyDescent="0.35">
      <c r="A8" s="35" t="s">
        <v>127</v>
      </c>
      <c r="B8" s="16" t="s">
        <v>102</v>
      </c>
      <c r="C8" s="16" t="s">
        <v>197</v>
      </c>
      <c r="D8" s="36">
        <f>Roadmap!I26</f>
        <v>46384</v>
      </c>
      <c r="E8" s="14">
        <f>SUM(Roadmap!F5:F26)</f>
        <v>103</v>
      </c>
      <c r="F8" s="14" t="s">
        <v>52</v>
      </c>
    </row>
    <row r="9" spans="1:6" ht="40" customHeight="1" x14ac:dyDescent="0.35">
      <c r="A9" s="35" t="s">
        <v>140</v>
      </c>
      <c r="B9" s="16" t="s">
        <v>128</v>
      </c>
      <c r="C9" s="16" t="s">
        <v>198</v>
      </c>
      <c r="D9" s="36">
        <f>Roadmap!I30</f>
        <v>46401</v>
      </c>
      <c r="E9" s="14">
        <f>SUM(Roadmap!F5:F30)</f>
        <v>121</v>
      </c>
      <c r="F9" s="14" t="s">
        <v>73</v>
      </c>
    </row>
    <row r="10" spans="1:6" ht="40" customHeight="1" x14ac:dyDescent="0.35">
      <c r="A10" s="35" t="s">
        <v>162</v>
      </c>
      <c r="B10" s="16" t="s">
        <v>142</v>
      </c>
      <c r="C10" s="16" t="s">
        <v>199</v>
      </c>
      <c r="D10" s="36">
        <f>Roadmap!I36</f>
        <v>46429</v>
      </c>
      <c r="E10" s="14">
        <f>SUM(Roadmap!F5:F36)</f>
        <v>147</v>
      </c>
      <c r="F10" s="14" t="s">
        <v>73</v>
      </c>
    </row>
    <row r="11" spans="1:6" ht="40" customHeight="1" x14ac:dyDescent="0.35">
      <c r="A11" s="35" t="s">
        <v>187</v>
      </c>
      <c r="B11" s="16" t="s">
        <v>164</v>
      </c>
      <c r="C11" s="16" t="s">
        <v>200</v>
      </c>
      <c r="D11" s="36">
        <f>Roadmap!I43</f>
        <v>46456</v>
      </c>
      <c r="E11" s="14">
        <f>SUM(Roadmap!F5:F43)</f>
        <v>171</v>
      </c>
      <c r="F11" s="14" t="s">
        <v>73</v>
      </c>
    </row>
    <row r="13" spans="1:6" x14ac:dyDescent="0.35">
      <c r="A13" s="47" t="s">
        <v>201</v>
      </c>
      <c r="B13" s="45"/>
      <c r="C13" s="45"/>
      <c r="D13" s="45"/>
      <c r="E13" s="45"/>
      <c r="F13" s="45"/>
    </row>
  </sheetData>
  <mergeCells count="1">
    <mergeCell ref="A13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4" customWidth="1"/>
    <col min="2" max="2" width="22" customWidth="1"/>
    <col min="3" max="3" width="12" customWidth="1"/>
    <col min="4" max="4" width="14" customWidth="1"/>
    <col min="5" max="5" width="46" customWidth="1"/>
    <col min="6" max="6" width="50" customWidth="1"/>
    <col min="7" max="7" width="12" customWidth="1"/>
    <col min="8" max="8" width="13" customWidth="1"/>
  </cols>
  <sheetData>
    <row r="1" spans="1:8" ht="18" x14ac:dyDescent="0.4">
      <c r="A1" s="1" t="s">
        <v>202</v>
      </c>
    </row>
    <row r="2" spans="1:8" x14ac:dyDescent="0.35">
      <c r="A2" s="46" t="s">
        <v>203</v>
      </c>
      <c r="B2" s="45"/>
      <c r="C2" s="45"/>
      <c r="D2" s="45"/>
      <c r="E2" s="45"/>
      <c r="F2" s="45"/>
      <c r="G2" s="45"/>
    </row>
    <row r="4" spans="1:8" ht="34" customHeight="1" x14ac:dyDescent="0.35">
      <c r="A4" s="13" t="s">
        <v>204</v>
      </c>
      <c r="B4" s="13" t="s">
        <v>205</v>
      </c>
      <c r="C4" s="13" t="s">
        <v>42</v>
      </c>
      <c r="D4" s="13" t="s">
        <v>206</v>
      </c>
      <c r="E4" s="13" t="s">
        <v>207</v>
      </c>
      <c r="F4" s="13" t="s">
        <v>208</v>
      </c>
      <c r="G4" s="13" t="s">
        <v>40</v>
      </c>
      <c r="H4" s="13" t="s">
        <v>35</v>
      </c>
    </row>
    <row r="5" spans="1:8" ht="46" customHeight="1" x14ac:dyDescent="0.35">
      <c r="A5" s="35" t="s">
        <v>209</v>
      </c>
      <c r="B5" s="16" t="s">
        <v>210</v>
      </c>
      <c r="C5" s="14" t="s">
        <v>92</v>
      </c>
      <c r="D5" s="14" t="s">
        <v>211</v>
      </c>
      <c r="E5" s="16" t="s">
        <v>212</v>
      </c>
      <c r="F5" s="16" t="s">
        <v>213</v>
      </c>
      <c r="G5" s="40" t="s">
        <v>47</v>
      </c>
      <c r="H5" s="14">
        <f>SUMIF(Roadmap!$M$5:$M$43,C5,Roadmap!$F$5:$F$43)</f>
        <v>5</v>
      </c>
    </row>
    <row r="6" spans="1:8" ht="46" customHeight="1" x14ac:dyDescent="0.35">
      <c r="A6" s="35" t="s">
        <v>214</v>
      </c>
      <c r="B6" s="16" t="s">
        <v>215</v>
      </c>
      <c r="C6" s="14" t="s">
        <v>49</v>
      </c>
      <c r="D6" s="14" t="s">
        <v>211</v>
      </c>
      <c r="E6" s="16" t="s">
        <v>216</v>
      </c>
      <c r="F6" s="16" t="s">
        <v>217</v>
      </c>
      <c r="G6" s="40" t="s">
        <v>47</v>
      </c>
      <c r="H6" s="14">
        <f>SUMIF(Roadmap!$M$5:$M$43,C6,Roadmap!$F$5:$F$43)</f>
        <v>9</v>
      </c>
    </row>
    <row r="7" spans="1:8" ht="46" customHeight="1" x14ac:dyDescent="0.35">
      <c r="A7" s="35" t="s">
        <v>218</v>
      </c>
      <c r="B7" s="16" t="s">
        <v>219</v>
      </c>
      <c r="C7" s="14" t="s">
        <v>54</v>
      </c>
      <c r="D7" s="14" t="s">
        <v>220</v>
      </c>
      <c r="E7" s="16" t="s">
        <v>221</v>
      </c>
      <c r="F7" s="16" t="s">
        <v>222</v>
      </c>
      <c r="G7" s="41" t="s">
        <v>52</v>
      </c>
      <c r="H7" s="14">
        <f>SUMIF(Roadmap!$M$5:$M$43,C7,Roadmap!$F$5:$F$43)</f>
        <v>22</v>
      </c>
    </row>
    <row r="8" spans="1:8" ht="46" customHeight="1" x14ac:dyDescent="0.35">
      <c r="A8" s="35" t="s">
        <v>223</v>
      </c>
      <c r="B8" s="16" t="s">
        <v>219</v>
      </c>
      <c r="C8" s="14" t="s">
        <v>108</v>
      </c>
      <c r="D8" s="14" t="s">
        <v>220</v>
      </c>
      <c r="E8" s="16" t="s">
        <v>224</v>
      </c>
      <c r="F8" s="16" t="s">
        <v>225</v>
      </c>
      <c r="G8" s="14" t="s">
        <v>73</v>
      </c>
      <c r="H8" s="14">
        <f>SUMIF(Roadmap!$M$5:$M$43,C8,Roadmap!$F$5:$F$43)</f>
        <v>5</v>
      </c>
    </row>
    <row r="9" spans="1:8" ht="46" customHeight="1" x14ac:dyDescent="0.35">
      <c r="A9" s="35" t="s">
        <v>226</v>
      </c>
      <c r="B9" s="16" t="s">
        <v>219</v>
      </c>
      <c r="C9" s="14" t="s">
        <v>111</v>
      </c>
      <c r="D9" s="14" t="s">
        <v>220</v>
      </c>
      <c r="E9" s="16" t="s">
        <v>227</v>
      </c>
      <c r="F9" s="16" t="s">
        <v>228</v>
      </c>
      <c r="G9" s="14" t="s">
        <v>73</v>
      </c>
      <c r="H9" s="14">
        <f>SUMIF(Roadmap!$M$5:$M$43,C9,Roadmap!$F$5:$F$43)</f>
        <v>5</v>
      </c>
    </row>
    <row r="10" spans="1:8" ht="46" customHeight="1" x14ac:dyDescent="0.35">
      <c r="A10" s="35" t="s">
        <v>229</v>
      </c>
      <c r="B10" s="16" t="s">
        <v>219</v>
      </c>
      <c r="C10" s="14" t="s">
        <v>114</v>
      </c>
      <c r="D10" s="14" t="s">
        <v>220</v>
      </c>
      <c r="E10" s="16" t="s">
        <v>230</v>
      </c>
      <c r="F10" s="16" t="s">
        <v>231</v>
      </c>
      <c r="G10" s="41" t="s">
        <v>52</v>
      </c>
      <c r="H10" s="14">
        <f>SUMIF(Roadmap!$M$5:$M$43,C10,Roadmap!$F$5:$F$43)</f>
        <v>6</v>
      </c>
    </row>
    <row r="11" spans="1:8" ht="46" customHeight="1" x14ac:dyDescent="0.35">
      <c r="A11" s="35" t="s">
        <v>232</v>
      </c>
      <c r="B11" s="16" t="s">
        <v>219</v>
      </c>
      <c r="C11" s="14" t="s">
        <v>120</v>
      </c>
      <c r="D11" s="14" t="s">
        <v>220</v>
      </c>
      <c r="E11" s="16" t="s">
        <v>233</v>
      </c>
      <c r="F11" s="16" t="s">
        <v>234</v>
      </c>
      <c r="G11" s="41" t="s">
        <v>52</v>
      </c>
      <c r="H11" s="14">
        <f>SUMIF(Roadmap!$M$5:$M$43,C11,Roadmap!$F$5:$F$43)</f>
        <v>11</v>
      </c>
    </row>
    <row r="12" spans="1:8" ht="46" customHeight="1" x14ac:dyDescent="0.35">
      <c r="A12" s="35" t="s">
        <v>235</v>
      </c>
      <c r="B12" s="16" t="s">
        <v>215</v>
      </c>
      <c r="C12" s="14" t="s">
        <v>96</v>
      </c>
      <c r="D12" s="14" t="s">
        <v>211</v>
      </c>
      <c r="E12" s="16" t="s">
        <v>236</v>
      </c>
      <c r="F12" s="16" t="s">
        <v>237</v>
      </c>
      <c r="G12" s="14" t="s">
        <v>73</v>
      </c>
      <c r="H12" s="14">
        <f>SUMIF(Roadmap!$M$5:$M$43,C12,Roadmap!$F$5:$F$43)</f>
        <v>5</v>
      </c>
    </row>
    <row r="13" spans="1:8" ht="46" customHeight="1" x14ac:dyDescent="0.35">
      <c r="A13" s="35" t="s">
        <v>238</v>
      </c>
      <c r="B13" s="16" t="s">
        <v>239</v>
      </c>
      <c r="C13" s="14" t="s">
        <v>101</v>
      </c>
      <c r="D13" s="14" t="s">
        <v>240</v>
      </c>
      <c r="E13" s="16" t="s">
        <v>241</v>
      </c>
      <c r="F13" s="16" t="s">
        <v>242</v>
      </c>
      <c r="G13" s="14" t="s">
        <v>73</v>
      </c>
      <c r="H13" s="14">
        <f>SUMIF(Roadmap!$M$5:$M$43,C13,Roadmap!$F$5:$F$43)</f>
        <v>22</v>
      </c>
    </row>
    <row r="14" spans="1:8" x14ac:dyDescent="0.35">
      <c r="G14" s="11" t="s">
        <v>243</v>
      </c>
      <c r="H14" s="42">
        <f>SUM(H5:H13)</f>
        <v>90</v>
      </c>
    </row>
    <row r="16" spans="1:8" x14ac:dyDescent="0.35">
      <c r="A16" s="46" t="s">
        <v>244</v>
      </c>
      <c r="B16" s="45"/>
      <c r="C16" s="45"/>
      <c r="D16" s="45"/>
      <c r="E16" s="45"/>
      <c r="F16" s="45"/>
      <c r="G16" s="45"/>
      <c r="H16" s="45"/>
    </row>
  </sheetData>
  <mergeCells count="2">
    <mergeCell ref="A2:G2"/>
    <mergeCell ref="A16:H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40" customWidth="1"/>
    <col min="2" max="2" width="12" customWidth="1"/>
    <col min="3" max="3" width="11" customWidth="1"/>
    <col min="4" max="4" width="48" customWidth="1"/>
    <col min="5" max="5" width="58" customWidth="1"/>
    <col min="6" max="6" width="15" customWidth="1"/>
  </cols>
  <sheetData>
    <row r="1" spans="1:6" ht="18" x14ac:dyDescent="0.4">
      <c r="A1" s="1" t="s">
        <v>245</v>
      </c>
    </row>
    <row r="2" spans="1:6" x14ac:dyDescent="0.35">
      <c r="A2" s="2" t="s">
        <v>246</v>
      </c>
    </row>
    <row r="4" spans="1:6" ht="30" customHeight="1" x14ac:dyDescent="0.35">
      <c r="A4" s="13" t="s">
        <v>247</v>
      </c>
      <c r="B4" s="13" t="s">
        <v>248</v>
      </c>
      <c r="C4" s="13" t="s">
        <v>249</v>
      </c>
      <c r="D4" s="13" t="s">
        <v>250</v>
      </c>
      <c r="E4" s="13" t="s">
        <v>251</v>
      </c>
      <c r="F4" s="13" t="s">
        <v>34</v>
      </c>
    </row>
    <row r="5" spans="1:6" ht="52" customHeight="1" x14ac:dyDescent="0.35">
      <c r="A5" s="35" t="s">
        <v>252</v>
      </c>
      <c r="B5" s="41" t="s">
        <v>47</v>
      </c>
      <c r="C5" s="41" t="s">
        <v>47</v>
      </c>
      <c r="D5" s="16" t="s">
        <v>253</v>
      </c>
      <c r="E5" s="16" t="s">
        <v>254</v>
      </c>
      <c r="F5" s="16" t="s">
        <v>62</v>
      </c>
    </row>
    <row r="6" spans="1:6" ht="52" customHeight="1" x14ac:dyDescent="0.35">
      <c r="A6" s="35" t="s">
        <v>255</v>
      </c>
      <c r="B6" s="41" t="s">
        <v>47</v>
      </c>
      <c r="C6" s="43" t="s">
        <v>73</v>
      </c>
      <c r="D6" s="16" t="s">
        <v>256</v>
      </c>
      <c r="E6" s="16" t="s">
        <v>257</v>
      </c>
      <c r="F6" s="16" t="s">
        <v>62</v>
      </c>
    </row>
    <row r="7" spans="1:6" ht="52" customHeight="1" x14ac:dyDescent="0.35">
      <c r="A7" s="35" t="s">
        <v>258</v>
      </c>
      <c r="B7" s="43" t="s">
        <v>73</v>
      </c>
      <c r="C7" s="41" t="s">
        <v>47</v>
      </c>
      <c r="D7" s="16" t="s">
        <v>259</v>
      </c>
      <c r="E7" s="16" t="s">
        <v>260</v>
      </c>
      <c r="F7" s="16" t="s">
        <v>261</v>
      </c>
    </row>
    <row r="8" spans="1:6" ht="52" customHeight="1" x14ac:dyDescent="0.35">
      <c r="A8" s="35" t="s">
        <v>262</v>
      </c>
      <c r="B8" s="43" t="s">
        <v>73</v>
      </c>
      <c r="C8" s="43" t="s">
        <v>73</v>
      </c>
      <c r="D8" s="16" t="s">
        <v>263</v>
      </c>
      <c r="E8" s="16" t="s">
        <v>264</v>
      </c>
      <c r="F8" s="16" t="s">
        <v>46</v>
      </c>
    </row>
    <row r="9" spans="1:6" ht="52" customHeight="1" x14ac:dyDescent="0.35">
      <c r="A9" s="35" t="s">
        <v>265</v>
      </c>
      <c r="B9" s="43" t="s">
        <v>73</v>
      </c>
      <c r="C9" s="41" t="s">
        <v>47</v>
      </c>
      <c r="D9" s="16" t="s">
        <v>266</v>
      </c>
      <c r="E9" s="16" t="s">
        <v>267</v>
      </c>
      <c r="F9" s="16" t="s">
        <v>62</v>
      </c>
    </row>
    <row r="10" spans="1:6" ht="52" customHeight="1" x14ac:dyDescent="0.35">
      <c r="A10" s="35" t="s">
        <v>268</v>
      </c>
      <c r="B10" s="40" t="s">
        <v>52</v>
      </c>
      <c r="C10" s="43" t="s">
        <v>73</v>
      </c>
      <c r="D10" s="16" t="s">
        <v>269</v>
      </c>
      <c r="E10" s="16" t="s">
        <v>270</v>
      </c>
      <c r="F10" s="16" t="s">
        <v>46</v>
      </c>
    </row>
    <row r="11" spans="1:6" ht="52" customHeight="1" x14ac:dyDescent="0.35">
      <c r="A11" s="35" t="s">
        <v>271</v>
      </c>
      <c r="B11" s="43" t="s">
        <v>73</v>
      </c>
      <c r="C11" s="41" t="s">
        <v>47</v>
      </c>
      <c r="D11" s="16" t="s">
        <v>272</v>
      </c>
      <c r="E11" s="16" t="s">
        <v>273</v>
      </c>
      <c r="F11" s="16" t="s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Roadmap</vt:lpstr>
      <vt:lpstr>Milestones</vt:lpstr>
      <vt:lpstr>Scope</vt:lpstr>
      <vt:lpstr>Risks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Omeesha Mahanta</cp:lastModifiedBy>
  <dcterms:created xsi:type="dcterms:W3CDTF">2026-09-10T13:10:08Z</dcterms:created>
  <dcterms:modified xsi:type="dcterms:W3CDTF">2026-09-10T13:10:16Z</dcterms:modified>
</cp:coreProperties>
</file>