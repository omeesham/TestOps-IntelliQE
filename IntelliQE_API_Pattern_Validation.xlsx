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PI Patterns" sheetId="2" state="visible" r:id="rId2"/>
    <sheet xmlns:r="http://schemas.openxmlformats.org/officeDocument/2006/relationships" name="Endpoints (Import)" sheetId="3" state="visible" r:id="rId3"/>
    <sheet xmlns:r="http://schemas.openxmlformats.org/officeDocument/2006/relationships" name="Scenario Matrix" sheetId="4" state="visible" r:id="rId4"/>
    <sheet xmlns:r="http://schemas.openxmlformats.org/officeDocument/2006/relationships" name="Check Types" sheetId="5" state="visible" r:id="rId5"/>
    <sheet xmlns:r="http://schemas.openxmlformats.org/officeDocument/2006/relationships" name="Validation Summary" sheetId="6" state="visible" r:id="rId6"/>
  </sheets>
  <definedNames>
    <definedName name="_xlnm._FilterDatabase" localSheetId="1" hidden="1">'API Patterns'!$A$3:$P$72</definedName>
    <definedName name="_xlnm._FilterDatabase" localSheetId="2" hidden="1">'Endpoints (Import)'!$A$3:$K$44</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14">
    <font>
      <name val="Calibri"/>
      <family val="2"/>
      <color theme="1"/>
      <sz val="11"/>
      <scheme val="minor"/>
    </font>
    <font>
      <name val="Arial"/>
      <b val="1"/>
      <color rgb="00FFFFFF"/>
      <sz val="14"/>
    </font>
    <font>
      <name val="Arial"/>
      <i val="1"/>
      <color rgb="002F5496"/>
      <sz val="9"/>
    </font>
    <font>
      <name val="Arial"/>
      <b val="1"/>
      <color rgb="001F3864"/>
      <sz val="11"/>
    </font>
    <font>
      <name val="Arial"/>
      <color rgb="00000000"/>
      <sz val="10"/>
    </font>
    <font>
      <name val="Arial"/>
      <b val="1"/>
      <color rgb="002F5496"/>
      <sz val="10"/>
    </font>
    <font>
      <name val="Arial"/>
      <b val="1"/>
      <color rgb="00FFFFFF"/>
      <sz val="10"/>
    </font>
    <font>
      <name val="Arial"/>
      <i val="1"/>
      <color rgb="00808080"/>
      <sz val="10"/>
    </font>
    <font>
      <name val="Arial"/>
      <b val="1"/>
      <color rgb="00000000"/>
      <sz val="10"/>
    </font>
    <font>
      <name val="Arial"/>
      <i val="1"/>
      <color rgb="009C5700"/>
      <sz val="10"/>
    </font>
    <font>
      <name val="Arial"/>
      <color rgb="00000000"/>
      <sz val="9"/>
    </font>
    <font>
      <name val="Arial"/>
      <i val="1"/>
      <color rgb="00808080"/>
      <sz val="9"/>
    </font>
    <font>
      <name val="Arial"/>
      <b val="1"/>
      <color rgb="001F3864"/>
      <sz val="10"/>
    </font>
    <font>
      <name val="Consolas"/>
      <sz val="9"/>
    </font>
  </fonts>
  <fills count="7">
    <fill>
      <patternFill/>
    </fill>
    <fill>
      <patternFill patternType="gray125"/>
    </fill>
    <fill>
      <patternFill patternType="solid">
        <fgColor rgb="001F3864"/>
      </patternFill>
    </fill>
    <fill>
      <patternFill patternType="solid">
        <fgColor rgb="00D9E2F3"/>
      </patternFill>
    </fill>
    <fill>
      <patternFill patternType="solid">
        <fgColor rgb="002F5496"/>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pivotButton="0" quotePrefix="0" xfId="0"/>
    <xf numFmtId="0" fontId="0" fillId="3" borderId="0" pivotButton="0" quotePrefix="0" xfId="0"/>
    <xf numFmtId="0" fontId="4" fillId="0" borderId="0" applyAlignment="1" pivotButton="0" quotePrefix="0" xfId="0">
      <alignment vertical="top" wrapText="1" indent="1"/>
    </xf>
    <xf numFmtId="0" fontId="5" fillId="0" borderId="0" applyAlignment="1" pivotButton="0" quotePrefix="0" xfId="0">
      <alignment vertical="top" indent="1"/>
    </xf>
    <xf numFmtId="0" fontId="6" fillId="4" borderId="1" applyAlignment="1" pivotButton="0" quotePrefix="0" xfId="0">
      <alignment horizontal="center" vertical="center" wrapText="1"/>
    </xf>
    <xf numFmtId="0" fontId="4" fillId="0" borderId="1" applyAlignment="1" pivotButton="0" quotePrefix="0" xfId="0">
      <alignment horizontal="center" vertical="top"/>
    </xf>
    <xf numFmtId="0" fontId="7" fillId="0" borderId="1" applyAlignment="1" pivotButton="0" quotePrefix="0" xfId="0">
      <alignment horizontal="left" vertical="top" indent="1"/>
    </xf>
    <xf numFmtId="0" fontId="7" fillId="0" borderId="1" applyAlignment="1" pivotButton="0" quotePrefix="0" xfId="0">
      <alignment horizontal="left" vertical="top" wrapText="1" indent="1"/>
    </xf>
    <xf numFmtId="0" fontId="7" fillId="0" borderId="1" applyAlignment="1" pivotButton="0" quotePrefix="0" xfId="0">
      <alignment horizontal="center" vertical="top"/>
    </xf>
    <xf numFmtId="165" fontId="7" fillId="0" borderId="1" applyAlignment="1" pivotButton="0" quotePrefix="0" xfId="0">
      <alignment horizontal="center" vertical="top"/>
    </xf>
    <xf numFmtId="0" fontId="7" fillId="5" borderId="1" applyAlignment="1" pivotButton="0" quotePrefix="0" xfId="0">
      <alignment horizontal="center" vertical="top"/>
    </xf>
    <xf numFmtId="9" fontId="7" fillId="0" borderId="1" applyAlignment="1" pivotButton="0" quotePrefix="0" xfId="0">
      <alignment horizontal="center" vertical="top"/>
    </xf>
    <xf numFmtId="165" fontId="7" fillId="5" borderId="1" applyAlignment="1" pivotButton="0" quotePrefix="0" xfId="0">
      <alignment horizontal="center" vertical="top"/>
    </xf>
    <xf numFmtId="0" fontId="7" fillId="5" borderId="1" applyAlignment="1" pivotButton="0" quotePrefix="0" xfId="0">
      <alignment horizontal="left" vertical="top" wrapText="1" indent="1"/>
    </xf>
    <xf numFmtId="0" fontId="8" fillId="6" borderId="1" applyAlignment="1" pivotButton="0" quotePrefix="0" xfId="0">
      <alignment horizontal="center" vertical="top"/>
    </xf>
    <xf numFmtId="0" fontId="4" fillId="6" borderId="1" applyAlignment="1" pivotButton="0" quotePrefix="0" xfId="0">
      <alignment horizontal="left" vertical="top" indent="1"/>
    </xf>
    <xf numFmtId="0" fontId="4" fillId="6" borderId="1" applyAlignment="1" pivotButton="0" quotePrefix="0" xfId="0">
      <alignment horizontal="left" vertical="top" wrapText="1" indent="1"/>
    </xf>
    <xf numFmtId="0" fontId="4" fillId="6" borderId="1" applyAlignment="1" pivotButton="0" quotePrefix="0" xfId="0">
      <alignment horizontal="center" vertical="top"/>
    </xf>
    <xf numFmtId="165" fontId="4" fillId="6" borderId="1" applyAlignment="1" pivotButton="0" quotePrefix="0" xfId="0">
      <alignment horizontal="center" vertical="top"/>
    </xf>
    <xf numFmtId="0" fontId="4" fillId="5" borderId="1" applyAlignment="1" pivotButton="0" quotePrefix="0" xfId="0">
      <alignment horizontal="center" vertical="top"/>
    </xf>
    <xf numFmtId="9" fontId="4" fillId="6" borderId="1" applyAlignment="1" pivotButton="0" quotePrefix="0" xfId="0">
      <alignment horizontal="center" vertical="top"/>
    </xf>
    <xf numFmtId="165" fontId="4" fillId="5" borderId="1" applyAlignment="1" pivotButton="0" quotePrefix="0" xfId="0">
      <alignment horizontal="center" vertical="top"/>
    </xf>
    <xf numFmtId="0" fontId="4" fillId="5" borderId="1" applyAlignment="1" pivotButton="0" quotePrefix="0" xfId="0">
      <alignment horizontal="left" vertical="top" wrapText="1" indent="1"/>
    </xf>
    <xf numFmtId="0" fontId="8" fillId="0" borderId="1" applyAlignment="1" pivotButton="0" quotePrefix="0" xfId="0">
      <alignment horizontal="center" vertical="top"/>
    </xf>
    <xf numFmtId="0" fontId="4" fillId="0" borderId="1" applyAlignment="1" pivotButton="0" quotePrefix="0" xfId="0">
      <alignment horizontal="left" vertical="top" indent="1"/>
    </xf>
    <xf numFmtId="0" fontId="4" fillId="0" borderId="1" applyAlignment="1" pivotButton="0" quotePrefix="0" xfId="0">
      <alignment horizontal="left" vertical="top" wrapText="1" indent="1"/>
    </xf>
    <xf numFmtId="165" fontId="4" fillId="0" borderId="1" applyAlignment="1" pivotButton="0" quotePrefix="0" xfId="0">
      <alignment horizontal="center" vertical="top"/>
    </xf>
    <xf numFmtId="9" fontId="4" fillId="0" borderId="1" applyAlignment="1" pivotButton="0" quotePrefix="0" xfId="0">
      <alignment horizontal="center" vertical="top"/>
    </xf>
    <xf numFmtId="0" fontId="9" fillId="5" borderId="1" applyAlignment="1" pivotButton="0" quotePrefix="0" xfId="0">
      <alignment horizontal="center" vertical="top"/>
    </xf>
    <xf numFmtId="0" fontId="10" fillId="0" borderId="1" applyAlignment="1" pivotButton="0" quotePrefix="0" xfId="0">
      <alignment horizontal="left" vertical="top" wrapText="1" indent="1"/>
    </xf>
    <xf numFmtId="0" fontId="10" fillId="6" borderId="1" applyAlignment="1" pivotButton="0" quotePrefix="0" xfId="0">
      <alignment horizontal="left" vertical="top" wrapText="1" indent="1"/>
    </xf>
    <xf numFmtId="0" fontId="11" fillId="0" borderId="0" applyAlignment="1" pivotButton="0" quotePrefix="0" xfId="0">
      <alignment vertical="top" wrapText="1" indent="1"/>
    </xf>
    <xf numFmtId="0" fontId="12" fillId="3" borderId="1" applyAlignment="1" pivotButton="0" quotePrefix="0" xfId="0">
      <alignment horizontal="left" vertical="top" indent="1"/>
    </xf>
    <xf numFmtId="0" fontId="4" fillId="3" borderId="1" applyAlignment="1" pivotButton="0" quotePrefix="0" xfId="0">
      <alignment horizontal="center" vertical="top"/>
    </xf>
    <xf numFmtId="0" fontId="4" fillId="3" borderId="1" applyAlignment="1" pivotButton="0" quotePrefix="0" xfId="0">
      <alignment horizontal="left" vertical="top" wrapText="1" indent="1"/>
    </xf>
    <xf numFmtId="0" fontId="8" fillId="0" borderId="1" applyAlignment="1" pivotButton="0" quotePrefix="0" xfId="0">
      <alignment vertical="top" wrapText="1" indent="1"/>
    </xf>
    <xf numFmtId="0" fontId="4" fillId="0" borderId="1" applyAlignment="1" pivotButton="0" quotePrefix="0" xfId="0">
      <alignment vertical="top" wrapText="1" indent="1"/>
    </xf>
    <xf numFmtId="0" fontId="13" fillId="0" borderId="1" applyAlignment="1" pivotButton="0" quotePrefix="0" xfId="0">
      <alignment vertical="top" wrapText="1" indent="1"/>
    </xf>
    <xf numFmtId="0" fontId="8" fillId="6" borderId="1" applyAlignment="1" pivotButton="0" quotePrefix="0" xfId="0">
      <alignment vertical="top" wrapText="1" indent="1"/>
    </xf>
    <xf numFmtId="0" fontId="4" fillId="6" borderId="1" applyAlignment="1" pivotButton="0" quotePrefix="0" xfId="0">
      <alignment vertical="top" wrapText="1" indent="1"/>
    </xf>
    <xf numFmtId="0" fontId="13" fillId="6" borderId="1" applyAlignment="1" pivotButton="0" quotePrefix="0" xfId="0">
      <alignment vertical="top" wrapText="1" indent="1"/>
    </xf>
    <xf numFmtId="0" fontId="3" fillId="3" borderId="1" pivotButton="0" quotePrefix="0" xfId="0"/>
    <xf numFmtId="0" fontId="0" fillId="3" borderId="1" pivotButton="0" quotePrefix="0" xfId="0"/>
    <xf numFmtId="0" fontId="4" fillId="0" borderId="1" applyAlignment="1" pivotButton="0" quotePrefix="0" xfId="0">
      <alignment indent="1"/>
    </xf>
    <xf numFmtId="1" fontId="8" fillId="0" borderId="1" applyAlignment="1" pivotButton="0" quotePrefix="0" xfId="0">
      <alignment horizontal="center"/>
    </xf>
    <xf numFmtId="166" fontId="8" fillId="0" borderId="1" applyAlignment="1" pivotButton="0" quotePrefix="0" xfId="0">
      <alignment horizontal="center"/>
    </xf>
    <xf numFmtId="3" fontId="8" fillId="0" borderId="1" applyAlignment="1" pivotButton="0" quotePrefix="0" xfId="0">
      <alignment horizontal="center"/>
    </xf>
    <xf numFmtId="0" fontId="6" fillId="4" borderId="1" applyAlignment="1" pivotButton="0" quotePrefix="0" xfId="0">
      <alignment horizontal="center"/>
    </xf>
    <xf numFmtId="1" fontId="4" fillId="0" borderId="1" applyAlignment="1" pivotButton="0" quotePrefix="0" xfId="0">
      <alignment horizontal="center"/>
    </xf>
  </cellXfs>
  <cellStyles count="1">
    <cellStyle name="Normal" xfId="0" builtinId="0" hidden="0"/>
  </cellStyles>
  <dxfs count="3">
    <dxf>
      <font>
        <name val="Arial"/>
        <color rgb="00006100"/>
        <sz val="10"/>
      </font>
      <fill>
        <patternFill patternType="solid">
          <fgColor rgb="00C6EFCE"/>
        </patternFill>
      </fill>
    </dxf>
    <dxf>
      <font>
        <name val="Arial"/>
        <color rgb="009C5700"/>
        <sz val="10"/>
      </font>
      <fill>
        <patternFill patternType="solid">
          <fgColor rgb="00FFEB9C"/>
        </patternFill>
      </fill>
    </dxf>
    <dxf>
      <font>
        <name val="Arial"/>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showGridLines="0"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20" customWidth="1" min="5" max="5"/>
    <col width="20" customWidth="1" min="6" max="6"/>
  </cols>
  <sheetData>
    <row r="1" ht="26" customHeight="1">
      <c r="A1" s="1" t="inlineStr">
        <is>
          <t>IntelliQE  ·  API Pattern Validation Pack</t>
        </is>
      </c>
    </row>
    <row r="2" ht="18" customHeight="1">
      <c r="A2" s="2" t="inlineStr">
        <is>
          <t>A catalogue of API patterns, an import-ready endpoint list, and a tracker for validating each pattern through IntelliQE API Automation.</t>
        </is>
      </c>
    </row>
    <row r="5" ht="20" customHeight="1">
      <c r="A5" s="3" t="inlineStr">
        <is>
          <t>What this workbook is for</t>
        </is>
      </c>
      <c r="B5" s="4" t="n"/>
      <c r="C5" s="4" t="n"/>
      <c r="D5" s="4" t="n"/>
      <c r="E5" s="4" t="n"/>
      <c r="F5" s="4" t="n"/>
    </row>
    <row r="6" ht="39" customHeight="1">
      <c r="A6" s="5" t="inlineStr">
        <is>
          <t>You want to prove that IntelliQE's API Automation handles every shape of API your teams will throw at it. This pack lists 68 distinct API patterns, tells you which ones the platform supports today, gives you a runnable public endpoint for each pattern that has one, and leaves you columns to record the result.</t>
        </is>
      </c>
    </row>
    <row r="8" ht="20" customHeight="1">
      <c r="A8" s="3" t="inlineStr">
        <is>
          <t>The sheets</t>
        </is>
      </c>
      <c r="B8" s="4" t="n"/>
      <c r="C8" s="4" t="n"/>
      <c r="D8" s="4" t="n"/>
      <c r="E8" s="4" t="n"/>
      <c r="F8" s="4" t="n"/>
    </row>
    <row r="9">
      <c r="A9" s="6" t="inlineStr">
        <is>
          <t>API Patterns</t>
        </is>
      </c>
    </row>
    <row r="10" ht="26" customHeight="1">
      <c r="A10" s="5" t="inlineStr">
        <is>
          <t>The master list. 68 patterns in 6 groups, each with an IntelliQE support rating (Native / Partial / Gap), a code-complete ETA, how to validate it, and the columns you fill in as you go. This is the sheet you work from.</t>
        </is>
      </c>
    </row>
    <row r="11">
      <c r="A11" s="6" t="inlineStr">
        <is>
          <t>Endpoints (Import)</t>
        </is>
      </c>
    </row>
    <row r="12" ht="26" customHeight="1">
      <c r="A12" s="5" t="inlineStr">
        <is>
          <t>41 ready-to-run public endpoints, one per pattern, in exactly the column shape IntelliQE's spec importer expects. Upload this file in API Studio and the importer reads these rows as endpoints you can pick from.</t>
        </is>
      </c>
    </row>
    <row r="13">
      <c r="A13" s="6" t="inlineStr">
        <is>
          <t>Scenario Matrix</t>
        </is>
      </c>
    </row>
    <row r="14" ht="26" customHeight="1">
      <c r="A14" s="5" t="inlineStr">
        <is>
          <t>The 22 scenario rows the generator works through for every endpoint, and which coverage depth unlocks each one. Use it to check that a run produced what it should have.</t>
        </is>
      </c>
    </row>
    <row r="15">
      <c r="A15" s="6" t="inlineStr">
        <is>
          <t>Check Types</t>
        </is>
      </c>
    </row>
    <row r="16" ht="26" customHeight="1">
      <c r="A16" s="5" t="inlineStr">
        <is>
          <t>The 8 assertion kinds the deterministic renderer supports, with the Playwright line each one becomes. If a pattern needs an assertion that is not on this list, that pattern is a Gap.</t>
        </is>
      </c>
    </row>
    <row r="17">
      <c r="A17" s="6" t="inlineStr">
        <is>
          <t>Validation Summary</t>
        </is>
      </c>
    </row>
    <row r="18" ht="15" customHeight="1">
      <c r="A18" s="5" t="inlineStr">
        <is>
          <t>Live counts, driven by formulas off the API Patterns sheet. Nothing to fill in here.</t>
        </is>
      </c>
    </row>
    <row r="20" ht="20" customHeight="1">
      <c r="A20" s="3" t="inlineStr">
        <is>
          <t>The ETA column  (column G)</t>
        </is>
      </c>
      <c r="B20" s="4" t="n"/>
      <c r="C20" s="4" t="n"/>
      <c r="D20" s="4" t="n"/>
      <c r="E20" s="4" t="n"/>
      <c r="F20" s="4" t="n"/>
    </row>
    <row r="21" ht="39" customHeight="1">
      <c r="A21" s="5" t="inlineStr">
        <is>
          <t>ETA is the code-complete date, not the tested date. Every pattern rated Native or Partial is code complete as of 09/09/2026 - the implementation exists and runs. The 12 patterns rated Gap are not implemented, so their ETA reads TBD for you to fill in once they are scheduled.</t>
        </is>
      </c>
    </row>
    <row r="22" ht="39" customHeight="1">
      <c r="A22" s="5" t="inlineStr">
        <is>
          <t>Code complete is not the same as validated. As shipped, every row's Validation Status is 'Not started' - the platform has no automated test suite, and no validation pass has been run against these patterns yet. Columns K to P are where that gets recorded.</t>
        </is>
      </c>
    </row>
    <row r="24" ht="20" customHeight="1">
      <c r="A24" s="3" t="inlineStr">
        <is>
          <t>How to run a validation pass</t>
        </is>
      </c>
      <c r="B24" s="4" t="n"/>
      <c r="C24" s="4" t="n"/>
      <c r="D24" s="4" t="n"/>
      <c r="E24" s="4" t="n"/>
      <c r="F24" s="4" t="n"/>
    </row>
    <row r="25" ht="26" customHeight="1">
      <c r="A25" s="5" t="inlineStr">
        <is>
          <t>1.  Open API Studio and click Import. Upload this .xlsx file (every sheet is flattened to CSV rows and read by the LLM importer), or save just the Endpoints (Import) sheet as .csv for a cleaner read.</t>
        </is>
      </c>
    </row>
    <row r="26" ht="15" customHeight="1">
      <c r="A26" s="5" t="inlineStr">
        <is>
          <t>2.  Pick one endpoint from the list the importer returns. The request card fills in from it.</t>
        </is>
      </c>
    </row>
    <row r="27" ht="15" customHeight="1">
      <c r="A27" s="5" t="inlineStr">
        <is>
          <t>3.  Set Coverage to the depth in the 'Suggested Depth' column of the API Patterns sheet, then Generate.</t>
        </is>
      </c>
    </row>
    <row r="28" ht="26" customHeight="1">
      <c r="A28" s="5" t="inlineStr">
        <is>
          <t>4.  Review the designed scenarios against the Scenario Matrix sheet, then continue through Automate → Execute → Heal → Report.</t>
        </is>
      </c>
    </row>
    <row r="29" ht="15" customHeight="1">
      <c r="A29" s="5" t="inlineStr">
        <is>
          <t>5.  Record what happened in columns K to P of the API Patterns sheet.</t>
        </is>
      </c>
    </row>
    <row r="31" ht="20" customHeight="1">
      <c r="A31" s="3" t="inlineStr">
        <is>
          <t>Support ratings</t>
        </is>
      </c>
      <c r="B31" s="4" t="n"/>
      <c r="C31" s="4" t="n"/>
      <c r="D31" s="4" t="n"/>
      <c r="E31" s="4" t="n"/>
      <c r="F31" s="4" t="n"/>
    </row>
    <row r="32">
      <c r="A32" s="6" t="inlineStr">
        <is>
          <t>Native</t>
        </is>
      </c>
    </row>
    <row r="33" ht="15" customHeight="1">
      <c r="A33" s="5" t="inlineStr">
        <is>
          <t>Fully covered. The generator designs it and the renderer emits a spec that runs unmodified.</t>
        </is>
      </c>
    </row>
    <row r="34">
      <c r="A34" s="6" t="inlineStr">
        <is>
          <t>Partial</t>
        </is>
      </c>
    </row>
    <row r="35" ht="26" customHeight="1">
      <c r="A35" s="5" t="inlineStr">
        <is>
          <t>Runs, but with a caveat named in the 'How to validate' column - a check kind that does not apply, a header you must set yourself, or an assertion that needs trimming by hand.</t>
        </is>
      </c>
    </row>
    <row r="36">
      <c r="A36" s="6" t="inlineStr">
        <is>
          <t>Gap</t>
        </is>
      </c>
    </row>
    <row r="37" ht="26" customHeight="1">
      <c r="A37" s="5" t="inlineStr">
        <is>
          <t>Not supported today. The 'How to validate' column says why, and gives the nearest workaround where one exists. These rows are your product backlog.</t>
        </is>
      </c>
    </row>
    <row r="39" ht="20" customHeight="1">
      <c r="A39" s="3" t="inlineStr">
        <is>
          <t>Cells you fill in</t>
        </is>
      </c>
      <c r="B39" s="4" t="n"/>
      <c r="C39" s="4" t="n"/>
      <c r="D39" s="4" t="n"/>
      <c r="E39" s="4" t="n"/>
      <c r="F39" s="4" t="n"/>
    </row>
    <row r="40" ht="39" customHeight="1">
      <c r="A40" s="5" t="inlineStr">
        <is>
          <t>Shaded amber, on the API Patterns sheet only: any ETA still reading TBD (G), Validation Status (K), Scenarios Generated (L), Scenarios Passed (M), Run Date (O) and Notes / Defect (P). Pass % (N) is a formula - leave it alone. Row 4 is a worked example showing the expected format; delete it once you start.</t>
        </is>
      </c>
    </row>
    <row r="42" ht="20" customHeight="1">
      <c r="A42" s="3" t="inlineStr">
        <is>
          <t>A note on the sample endpoints</t>
        </is>
      </c>
      <c r="B42" s="4" t="n"/>
      <c r="C42" s="4" t="n"/>
      <c r="D42" s="4" t="n"/>
      <c r="E42" s="4" t="n"/>
      <c r="F42" s="4" t="n"/>
    </row>
    <row r="43" ht="65" customHeight="1">
      <c r="A43" s="5" t="inlineStr">
        <is>
          <t>They are well-known public sandboxes (httpbin.org, jsonplaceholder.typicode.com, dummyjson.com, reqres.in, api.restful-api.dev, postman-echo.com, api.github.com, countries.trevorblades.com, dataaccess.net). They were chosen from documentation, not pinged from this machine - confirm each one is reachable from your network and not blocked by a corporate proxy before you treat a failure as an IntelliQE defect. Credentials shown are the public throwaway values those sandboxes document; none are real secrets.</t>
        </is>
      </c>
    </row>
  </sheetData>
  <mergeCells count="27">
    <mergeCell ref="A16:F16"/>
    <mergeCell ref="A37:F37"/>
    <mergeCell ref="A27:F27"/>
    <mergeCell ref="A12:F12"/>
    <mergeCell ref="A18:F18"/>
    <mergeCell ref="A26:F26"/>
    <mergeCell ref="A21:F21"/>
    <mergeCell ref="A2:F2"/>
    <mergeCell ref="A33:F33"/>
    <mergeCell ref="A42:F42"/>
    <mergeCell ref="A14:F14"/>
    <mergeCell ref="A5:F5"/>
    <mergeCell ref="A8:F8"/>
    <mergeCell ref="A22:F22"/>
    <mergeCell ref="A35:F35"/>
    <mergeCell ref="A20:F20"/>
    <mergeCell ref="A29:F29"/>
    <mergeCell ref="A43:F43"/>
    <mergeCell ref="A10:F10"/>
    <mergeCell ref="A28:F28"/>
    <mergeCell ref="A31:F31"/>
    <mergeCell ref="A40:F40"/>
    <mergeCell ref="A39:F39"/>
    <mergeCell ref="A24:F24"/>
    <mergeCell ref="A1:F1"/>
    <mergeCell ref="A6:F6"/>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2"/>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30" customWidth="1" min="3" max="3"/>
    <col width="42" customWidth="1" min="4" max="4"/>
    <col width="11" customWidth="1" min="5" max="5"/>
    <col width="13" customWidth="1" min="6" max="6"/>
    <col width="12" customWidth="1" min="7" max="7"/>
    <col width="66" customWidth="1" min="8" max="8"/>
    <col width="11" customWidth="1" min="9" max="9"/>
    <col width="8" customWidth="1" min="10" max="10"/>
    <col width="15" customWidth="1" min="11" max="11"/>
    <col width="12" customWidth="1" min="12" max="12"/>
    <col width="12" customWidth="1" min="13" max="13"/>
    <col width="9" customWidth="1" min="14" max="14"/>
    <col width="12" customWidth="1" min="15" max="15"/>
    <col width="34" customWidth="1" min="16" max="16"/>
  </cols>
  <sheetData>
    <row r="1" ht="26" customHeight="1">
      <c r="A1" s="1" t="inlineStr">
        <is>
          <t>API Patterns  ·  catalogue, delivery status and validation tracker</t>
        </is>
      </c>
    </row>
    <row r="2" ht="18" customHeight="1">
      <c r="A2" s="2" t="inlineStr">
        <is>
          <t>68 patterns · Support = what the code does today · ETA = code-complete date (09/09/2026 for every Native or Partial pattern; TBD for the 12 gaps) · amber cells are yours · row 4 is a worked example, delete it.</t>
        </is>
      </c>
    </row>
    <row r="3" ht="30" customHeight="1">
      <c r="A3" s="7" t="inlineStr">
        <is>
          <t>ID</t>
        </is>
      </c>
      <c r="B3" s="7" t="inlineStr">
        <is>
          <t>Group</t>
        </is>
      </c>
      <c r="C3" s="7" t="inlineStr">
        <is>
          <t>API Pattern</t>
        </is>
      </c>
      <c r="D3" s="7" t="inlineStr">
        <is>
          <t>What it looks like</t>
        </is>
      </c>
      <c r="E3" s="7" t="inlineStr">
        <is>
          <t>Method(s)</t>
        </is>
      </c>
      <c r="F3" s="7" t="inlineStr">
        <is>
          <t>IntelliQE Support</t>
        </is>
      </c>
      <c r="G3" s="7" t="inlineStr">
        <is>
          <t>ETA</t>
        </is>
      </c>
      <c r="H3" s="7" t="inlineStr">
        <is>
          <t>How to validate it in IntelliQE  /  limitation</t>
        </is>
      </c>
      <c r="I3" s="7" t="inlineStr">
        <is>
          <t>Suggested Depth</t>
        </is>
      </c>
      <c r="J3" s="7" t="inlineStr">
        <is>
          <t>Sample</t>
        </is>
      </c>
      <c r="K3" s="7" t="inlineStr">
        <is>
          <t>Validation Status</t>
        </is>
      </c>
      <c r="L3" s="7" t="inlineStr">
        <is>
          <t>Scenarios Generated</t>
        </is>
      </c>
      <c r="M3" s="7" t="inlineStr">
        <is>
          <t>Scenarios Passed</t>
        </is>
      </c>
      <c r="N3" s="7" t="inlineStr">
        <is>
          <t>Pass %</t>
        </is>
      </c>
      <c r="O3" s="7" t="inlineStr">
        <is>
          <t>Run Date</t>
        </is>
      </c>
      <c r="P3" s="7" t="inlineStr">
        <is>
          <t>Notes / Defect</t>
        </is>
      </c>
    </row>
    <row r="4" ht="30" customHeight="1">
      <c r="A4" s="8" t="inlineStr">
        <is>
          <t>P00</t>
        </is>
      </c>
      <c r="B4" s="9" t="inlineStr">
        <is>
          <t>— worked example —</t>
        </is>
      </c>
      <c r="C4" s="10" t="inlineStr">
        <is>
          <t>Single resource read by id</t>
        </is>
      </c>
      <c r="D4" s="10" t="inlineStr">
        <is>
          <t>GET /resource/{id} returns one object</t>
        </is>
      </c>
      <c r="E4" s="11" t="inlineStr">
        <is>
          <t>GET</t>
        </is>
      </c>
      <c r="F4" s="11" t="inlineStr">
        <is>
          <t>Native</t>
        </is>
      </c>
      <c r="G4" s="12" t="n">
        <v>46274</v>
      </c>
      <c r="H4" s="10" t="inlineStr">
        <is>
          <t>Ran E02 at Standard depth: 13 scenarios designed, all rendered, 12 passed.</t>
        </is>
      </c>
      <c r="I4" s="11" t="inlineStr">
        <is>
          <t>Standard</t>
        </is>
      </c>
      <c r="J4" s="11" t="inlineStr">
        <is>
          <t>E02</t>
        </is>
      </c>
      <c r="K4" s="13" t="inlineStr">
        <is>
          <t>Pass</t>
        </is>
      </c>
      <c r="L4" s="13" t="n">
        <v>13</v>
      </c>
      <c r="M4" s="13" t="n">
        <v>12</v>
      </c>
      <c r="N4" s="14">
        <f>IFERROR(M4/L4,"")</f>
        <v/>
      </c>
      <c r="O4" s="15" t="n">
        <v>46275</v>
      </c>
      <c r="P4" s="16" t="inlineStr">
        <is>
          <t>One 405 case failed - the sandbox returns 404 for a wrong verb. Not an IntelliQE defect.</t>
        </is>
      </c>
    </row>
    <row r="5" ht="30" customHeight="1">
      <c r="A5" s="17" t="inlineStr">
        <is>
          <t>P01</t>
        </is>
      </c>
      <c r="B5" s="18" t="inlineStr">
        <is>
          <t>Core REST / CRUD</t>
        </is>
      </c>
      <c r="C5" s="19" t="inlineStr">
        <is>
          <t>Collection read (list)</t>
        </is>
      </c>
      <c r="D5" s="19" t="inlineStr">
        <is>
          <t>GET a collection URL, returns an array or an envelope of records</t>
        </is>
      </c>
      <c r="E5" s="20" t="inlineStr">
        <is>
          <t>GET</t>
        </is>
      </c>
      <c r="F5" s="20" t="inlineStr">
        <is>
          <t>Native</t>
        </is>
      </c>
      <c r="G5" s="21" t="n">
        <v>46274</v>
      </c>
      <c r="H5" s="19" t="inlineStr">
        <is>
          <t>Straightforward. Use jsonArrayNotEmpty on the root (path "") plus jsonProperty type checks on element 0.</t>
        </is>
      </c>
      <c r="I5" s="20" t="inlineStr">
        <is>
          <t>Standard</t>
        </is>
      </c>
      <c r="J5" s="20" t="inlineStr">
        <is>
          <t>E01</t>
        </is>
      </c>
      <c r="K5" s="22" t="inlineStr">
        <is>
          <t>Not started</t>
        </is>
      </c>
      <c r="L5" s="22" t="n"/>
      <c r="M5" s="22" t="n"/>
      <c r="N5" s="23">
        <f>IFERROR(M5/L5,"")</f>
        <v/>
      </c>
      <c r="O5" s="24" t="n"/>
      <c r="P5" s="25" t="n"/>
    </row>
    <row r="6" ht="30" customHeight="1">
      <c r="A6" s="26" t="inlineStr">
        <is>
          <t>P02</t>
        </is>
      </c>
      <c r="B6" s="27" t="inlineStr">
        <is>
          <t>Core REST / CRUD</t>
        </is>
      </c>
      <c r="C6" s="28" t="inlineStr">
        <is>
          <t>Single resource read by id</t>
        </is>
      </c>
      <c r="D6" s="28" t="inlineStr">
        <is>
          <t>GET /resource/{id} returns one object</t>
        </is>
      </c>
      <c r="E6" s="8" t="inlineStr">
        <is>
          <t>GET</t>
        </is>
      </c>
      <c r="F6" s="8" t="inlineStr">
        <is>
          <t>Native</t>
        </is>
      </c>
      <c r="G6" s="29" t="n">
        <v>46274</v>
      </c>
      <c r="H6" s="28" t="inlineStr">
        <is>
          <t>The canonical case. Happy path plus a 404 for an impossible id are both [core] rows.</t>
        </is>
      </c>
      <c r="I6" s="8" t="inlineStr">
        <is>
          <t>Standard</t>
        </is>
      </c>
      <c r="J6" s="8" t="inlineStr">
        <is>
          <t>E02</t>
        </is>
      </c>
      <c r="K6" s="22" t="inlineStr">
        <is>
          <t>Not started</t>
        </is>
      </c>
      <c r="L6" s="22" t="n"/>
      <c r="M6" s="22" t="n"/>
      <c r="N6" s="30">
        <f>IFERROR(M6/L6,"")</f>
        <v/>
      </c>
      <c r="O6" s="24" t="n"/>
      <c r="P6" s="25" t="n"/>
    </row>
    <row r="7" ht="30" customHeight="1">
      <c r="A7" s="17" t="inlineStr">
        <is>
          <t>P03</t>
        </is>
      </c>
      <c r="B7" s="18" t="inlineStr">
        <is>
          <t>Core REST / CRUD</t>
        </is>
      </c>
      <c r="C7" s="19" t="inlineStr">
        <is>
          <t>Create (POST)</t>
        </is>
      </c>
      <c r="D7" s="19" t="inlineStr">
        <is>
          <t>POST a JSON body, returns 201 and the created record (often with a Location header)</t>
        </is>
      </c>
      <c r="E7" s="20" t="inlineStr">
        <is>
          <t>POST</t>
        </is>
      </c>
      <c r="F7" s="20" t="inlineStr">
        <is>
          <t>Native</t>
        </is>
      </c>
      <c r="G7" s="21" t="n">
        <v>46274</v>
      </c>
      <c r="H7" s="19" t="inlineStr">
        <is>
          <t>Set Expected Status to 201 so the happy-path case asserts exactly that. Payload negative rows unlock automatically for write methods.</t>
        </is>
      </c>
      <c r="I7" s="20" t="inlineStr">
        <is>
          <t>Standard</t>
        </is>
      </c>
      <c r="J7" s="20" t="inlineStr">
        <is>
          <t>E03</t>
        </is>
      </c>
      <c r="K7" s="22" t="inlineStr">
        <is>
          <t>Not started</t>
        </is>
      </c>
      <c r="L7" s="22" t="n"/>
      <c r="M7" s="22" t="n"/>
      <c r="N7" s="23">
        <f>IFERROR(M7/L7,"")</f>
        <v/>
      </c>
      <c r="O7" s="24" t="n"/>
      <c r="P7" s="25" t="n"/>
    </row>
    <row r="8" ht="30" customHeight="1">
      <c r="A8" s="26" t="inlineStr">
        <is>
          <t>P04</t>
        </is>
      </c>
      <c r="B8" s="27" t="inlineStr">
        <is>
          <t>Core REST / CRUD</t>
        </is>
      </c>
      <c r="C8" s="28" t="inlineStr">
        <is>
          <t>Full replace (PUT)</t>
        </is>
      </c>
      <c r="D8" s="28" t="inlineStr">
        <is>
          <t>PUT the complete representation of a resource</t>
        </is>
      </c>
      <c r="E8" s="8" t="inlineStr">
        <is>
          <t>PUT</t>
        </is>
      </c>
      <c r="F8" s="8" t="inlineStr">
        <is>
          <t>Native</t>
        </is>
      </c>
      <c r="G8" s="29" t="n">
        <v>46274</v>
      </c>
      <c r="H8" s="28" t="inlineStr">
        <is>
          <t>Same as POST. The [deep] idempotency row applies here: the same request twice, the same status.</t>
        </is>
      </c>
      <c r="I8" s="8" t="inlineStr">
        <is>
          <t>Standard</t>
        </is>
      </c>
      <c r="J8" s="8" t="inlineStr">
        <is>
          <t>E04</t>
        </is>
      </c>
      <c r="K8" s="22" t="inlineStr">
        <is>
          <t>Not started</t>
        </is>
      </c>
      <c r="L8" s="22" t="n"/>
      <c r="M8" s="22" t="n"/>
      <c r="N8" s="30">
        <f>IFERROR(M8/L8,"")</f>
        <v/>
      </c>
      <c r="O8" s="24" t="n"/>
      <c r="P8" s="25" t="n"/>
    </row>
    <row r="9" ht="30" customHeight="1">
      <c r="A9" s="17" t="inlineStr">
        <is>
          <t>P05</t>
        </is>
      </c>
      <c r="B9" s="18" t="inlineStr">
        <is>
          <t>Core REST / CRUD</t>
        </is>
      </c>
      <c r="C9" s="19" t="inlineStr">
        <is>
          <t>Partial update (PATCH)</t>
        </is>
      </c>
      <c r="D9" s="19" t="inlineStr">
        <is>
          <t>PATCH a subset of fields</t>
        </is>
      </c>
      <c r="E9" s="20" t="inlineStr">
        <is>
          <t>PATCH</t>
        </is>
      </c>
      <c r="F9" s="20" t="inlineStr">
        <is>
          <t>Native</t>
        </is>
      </c>
      <c r="G9" s="21" t="n">
        <v>46274</v>
      </c>
      <c r="H9" s="19" t="inlineStr">
        <is>
          <t>Supply only the fields you are changing in the Body field; the generator derives missing-field negatives from it.</t>
        </is>
      </c>
      <c r="I9" s="20" t="inlineStr">
        <is>
          <t>Standard</t>
        </is>
      </c>
      <c r="J9" s="20" t="inlineStr">
        <is>
          <t>E05</t>
        </is>
      </c>
      <c r="K9" s="22" t="inlineStr">
        <is>
          <t>Not started</t>
        </is>
      </c>
      <c r="L9" s="22" t="n"/>
      <c r="M9" s="22" t="n"/>
      <c r="N9" s="23">
        <f>IFERROR(M9/L9,"")</f>
        <v/>
      </c>
      <c r="O9" s="24" t="n"/>
      <c r="P9" s="25" t="n"/>
    </row>
    <row r="10" ht="30" customHeight="1">
      <c r="A10" s="26" t="inlineStr">
        <is>
          <t>P06</t>
        </is>
      </c>
      <c r="B10" s="27" t="inlineStr">
        <is>
          <t>Core REST / CRUD</t>
        </is>
      </c>
      <c r="C10" s="28" t="inlineStr">
        <is>
          <t>Delete (DELETE)</t>
        </is>
      </c>
      <c r="D10" s="28" t="inlineStr">
        <is>
          <t>DELETE a resource, often 204 with no response body</t>
        </is>
      </c>
      <c r="E10" s="8" t="inlineStr">
        <is>
          <t>DELETE</t>
        </is>
      </c>
      <c r="F10" s="8" t="inlineStr">
        <is>
          <t>Partial</t>
        </is>
      </c>
      <c r="G10" s="29" t="n">
        <v>46274</v>
      </c>
      <c r="H10" s="28" t="inlineStr">
        <is>
          <t>A 204 has no body, so any jsonProperty check throws 'Expected a JSON response body'. Keep this endpoint on Essential depth, or trim the generated spec to status/header checks.</t>
        </is>
      </c>
      <c r="I10" s="8" t="inlineStr">
        <is>
          <t>Essential</t>
        </is>
      </c>
      <c r="J10" s="8" t="inlineStr">
        <is>
          <t>E06</t>
        </is>
      </c>
      <c r="K10" s="22" t="inlineStr">
        <is>
          <t>Not started</t>
        </is>
      </c>
      <c r="L10" s="22" t="n"/>
      <c r="M10" s="22" t="n"/>
      <c r="N10" s="30">
        <f>IFERROR(M10/L10,"")</f>
        <v/>
      </c>
      <c r="O10" s="24" t="n"/>
      <c r="P10" s="25" t="n"/>
    </row>
    <row r="11" ht="30" customHeight="1">
      <c r="A11" s="17" t="inlineStr">
        <is>
          <t>P07</t>
        </is>
      </c>
      <c r="B11" s="18" t="inlineStr">
        <is>
          <t>Core REST / CRUD</t>
        </is>
      </c>
      <c r="C11" s="19" t="inlineStr">
        <is>
          <t>Nested / sub-resource</t>
        </is>
      </c>
      <c r="D11" s="19" t="inlineStr">
        <is>
          <t>GET /parent/{id}/children</t>
        </is>
      </c>
      <c r="E11" s="20" t="inlineStr">
        <is>
          <t>GET</t>
        </is>
      </c>
      <c r="F11" s="20" t="inlineStr">
        <is>
          <t>Native</t>
        </is>
      </c>
      <c r="G11" s="21" t="n">
        <v>46274</v>
      </c>
      <c r="H11" s="19" t="inlineStr">
        <is>
          <t>Works as an ordinary URL. Assert the array and a parent-id field on element 0.</t>
        </is>
      </c>
      <c r="I11" s="20" t="inlineStr">
        <is>
          <t>Standard</t>
        </is>
      </c>
      <c r="J11" s="20" t="inlineStr">
        <is>
          <t>E07</t>
        </is>
      </c>
      <c r="K11" s="22" t="inlineStr">
        <is>
          <t>Not started</t>
        </is>
      </c>
      <c r="L11" s="22" t="n"/>
      <c r="M11" s="22" t="n"/>
      <c r="N11" s="23">
        <f>IFERROR(M11/L11,"")</f>
        <v/>
      </c>
      <c r="O11" s="24" t="n"/>
      <c r="P11" s="25" t="n"/>
    </row>
    <row r="12" ht="30" customHeight="1">
      <c r="A12" s="26" t="inlineStr">
        <is>
          <t>P08</t>
        </is>
      </c>
      <c r="B12" s="27" t="inlineStr">
        <is>
          <t>Core REST / CRUD</t>
        </is>
      </c>
      <c r="C12" s="28" t="inlineStr">
        <is>
          <t>HEAD (headers only)</t>
        </is>
      </c>
      <c r="D12" s="28" t="inlineStr">
        <is>
          <t>HEAD returns status and headers, never a body</t>
        </is>
      </c>
      <c r="E12" s="8" t="inlineStr">
        <is>
          <t>HEAD</t>
        </is>
      </c>
      <c r="F12" s="8" t="inlineStr">
        <is>
          <t>Partial</t>
        </is>
      </c>
      <c r="G12" s="29" t="n">
        <v>46274</v>
      </c>
      <c r="H12" s="28" t="inlineStr">
        <is>
          <t>Rendered with request.head(). Only status, header and responseTime checks are meaningful; strip any jsonProperty the generator adds.</t>
        </is>
      </c>
      <c r="I12" s="8" t="inlineStr">
        <is>
          <t>Essential</t>
        </is>
      </c>
      <c r="J12" s="8" t="inlineStr">
        <is>
          <t>E08</t>
        </is>
      </c>
      <c r="K12" s="22" t="inlineStr">
        <is>
          <t>Not started</t>
        </is>
      </c>
      <c r="L12" s="22" t="n"/>
      <c r="M12" s="22" t="n"/>
      <c r="N12" s="30">
        <f>IFERROR(M12/L12,"")</f>
        <v/>
      </c>
      <c r="O12" s="24" t="n"/>
      <c r="P12" s="25" t="n"/>
    </row>
    <row r="13" ht="30" customHeight="1">
      <c r="A13" s="17" t="inlineStr">
        <is>
          <t>P09</t>
        </is>
      </c>
      <c r="B13" s="18" t="inlineStr">
        <is>
          <t>Core REST / CRUD</t>
        </is>
      </c>
      <c r="C13" s="19" t="inlineStr">
        <is>
          <t>OPTIONS / CORS preflight</t>
        </is>
      </c>
      <c r="D13" s="19" t="inlineStr">
        <is>
          <t>OPTIONS returns Allow and Access-Control-* headers</t>
        </is>
      </c>
      <c r="E13" s="20" t="inlineStr">
        <is>
          <t>OPTIONS</t>
        </is>
      </c>
      <c r="F13" s="20" t="inlineStr">
        <is>
          <t>Partial</t>
        </is>
      </c>
      <c r="G13" s="21" t="n">
        <v>46274</v>
      </c>
      <c r="H13" s="19" t="inlineStr">
        <is>
          <t>Not one of Playwright's named verbs, so it renders through request.fetch(). Assert the Allow and Access-Control-Allow-Methods headers.</t>
        </is>
      </c>
      <c r="I13" s="20" t="inlineStr">
        <is>
          <t>Essential</t>
        </is>
      </c>
      <c r="J13" s="20" t="inlineStr">
        <is>
          <t>E09</t>
        </is>
      </c>
      <c r="K13" s="22" t="inlineStr">
        <is>
          <t>Not started</t>
        </is>
      </c>
      <c r="L13" s="22" t="n"/>
      <c r="M13" s="22" t="n"/>
      <c r="N13" s="23">
        <f>IFERROR(M13/L13,"")</f>
        <v/>
      </c>
      <c r="O13" s="24" t="n"/>
      <c r="P13" s="25" t="n"/>
    </row>
    <row r="14" ht="30" customHeight="1">
      <c r="A14" s="26" t="inlineStr">
        <is>
          <t>P10</t>
        </is>
      </c>
      <c r="B14" s="27" t="inlineStr">
        <is>
          <t>Core REST / CRUD</t>
        </is>
      </c>
      <c r="C14" s="28" t="inlineStr">
        <is>
          <t>Non-standard verb</t>
        </is>
      </c>
      <c r="D14" s="28" t="inlineStr">
        <is>
          <t>PURGE, LOCK, REPORT and other custom verbs</t>
        </is>
      </c>
      <c r="E14" s="8" t="inlineStr">
        <is>
          <t>Other</t>
        </is>
      </c>
      <c r="F14" s="8" t="inlineStr">
        <is>
          <t>Partial</t>
        </is>
      </c>
      <c r="G14" s="29" t="n">
        <v>46274</v>
      </c>
      <c r="H14" s="28" t="inlineStr">
        <is>
          <t>Also routed through request.fetch(). Accepted as long as the verb is alphabetic - digits and dashes are stripped by the payload sanitiser.</t>
        </is>
      </c>
      <c r="I14" s="8" t="inlineStr">
        <is>
          <t>Essential</t>
        </is>
      </c>
      <c r="J14" s="8" t="inlineStr"/>
      <c r="K14" s="22" t="inlineStr">
        <is>
          <t>Not started</t>
        </is>
      </c>
      <c r="L14" s="22" t="n"/>
      <c r="M14" s="22" t="n"/>
      <c r="N14" s="30">
        <f>IFERROR(M14/L14,"")</f>
        <v/>
      </c>
      <c r="O14" s="24" t="n"/>
      <c r="P14" s="25" t="n"/>
    </row>
    <row r="15" ht="30" customHeight="1">
      <c r="A15" s="17" t="inlineStr">
        <is>
          <t>P11</t>
        </is>
      </c>
      <c r="B15" s="18" t="inlineStr">
        <is>
          <t>Collections &amp; Query</t>
        </is>
      </c>
      <c r="C15" s="19" t="inlineStr">
        <is>
          <t>Query-parameter filtering</t>
        </is>
      </c>
      <c r="D15" s="19" t="inlineStr">
        <is>
          <t>?status=active&amp;userId=1</t>
        </is>
      </c>
      <c r="E15" s="20" t="inlineStr">
        <is>
          <t>GET</t>
        </is>
      </c>
      <c r="F15" s="20" t="inlineStr">
        <is>
          <t>Native</t>
        </is>
      </c>
      <c r="G15" s="21" t="n">
        <v>46274</v>
      </c>
      <c r="H15" s="19" t="inlineStr">
        <is>
          <t>Put the filter in the URL. The [wide] 'unknown query parameter' row checks the API ignores junk params instead of returning 500.</t>
        </is>
      </c>
      <c r="I15" s="20" t="inlineStr">
        <is>
          <t>Standard</t>
        </is>
      </c>
      <c r="J15" s="20" t="inlineStr">
        <is>
          <t>E10</t>
        </is>
      </c>
      <c r="K15" s="22" t="inlineStr">
        <is>
          <t>Not started</t>
        </is>
      </c>
      <c r="L15" s="22" t="n"/>
      <c r="M15" s="22" t="n"/>
      <c r="N15" s="23">
        <f>IFERROR(M15/L15,"")</f>
        <v/>
      </c>
      <c r="O15" s="24" t="n"/>
      <c r="P15" s="25" t="n"/>
    </row>
    <row r="16" ht="30" customHeight="1">
      <c r="A16" s="26" t="inlineStr">
        <is>
          <t>P12</t>
        </is>
      </c>
      <c r="B16" s="27" t="inlineStr">
        <is>
          <t>Collections &amp; Query</t>
        </is>
      </c>
      <c r="C16" s="28" t="inlineStr">
        <is>
          <t>Offset / limit pagination</t>
        </is>
      </c>
      <c r="D16" s="28" t="inlineStr">
        <is>
          <t>?limit=10&amp;skip=20 or ?offset=</t>
        </is>
      </c>
      <c r="E16" s="8" t="inlineStr">
        <is>
          <t>GET</t>
        </is>
      </c>
      <c r="F16" s="8" t="inlineStr">
        <is>
          <t>Native</t>
        </is>
      </c>
      <c r="G16" s="29" t="n">
        <v>46274</v>
      </c>
      <c r="H16" s="28" t="inlineStr">
        <is>
          <t>Assert the page size with a jsonProperty type/array check, and the total/limit/skip fields from the envelope.</t>
        </is>
      </c>
      <c r="I16" s="8" t="inlineStr">
        <is>
          <t>Standard</t>
        </is>
      </c>
      <c r="J16" s="8" t="inlineStr">
        <is>
          <t>E11</t>
        </is>
      </c>
      <c r="K16" s="22" t="inlineStr">
        <is>
          <t>Not started</t>
        </is>
      </c>
      <c r="L16" s="22" t="n"/>
      <c r="M16" s="22" t="n"/>
      <c r="N16" s="30">
        <f>IFERROR(M16/L16,"")</f>
        <v/>
      </c>
      <c r="O16" s="24" t="n"/>
      <c r="P16" s="25" t="n"/>
    </row>
    <row r="17" ht="30" customHeight="1">
      <c r="A17" s="17" t="inlineStr">
        <is>
          <t>P13</t>
        </is>
      </c>
      <c r="B17" s="18" t="inlineStr">
        <is>
          <t>Collections &amp; Query</t>
        </is>
      </c>
      <c r="C17" s="19" t="inlineStr">
        <is>
          <t>Page / size pagination</t>
        </is>
      </c>
      <c r="D17" s="19" t="inlineStr">
        <is>
          <t>?page=2&amp;per_page=20</t>
        </is>
      </c>
      <c r="E17" s="20" t="inlineStr">
        <is>
          <t>GET</t>
        </is>
      </c>
      <c r="F17" s="20" t="inlineStr">
        <is>
          <t>Native</t>
        </is>
      </c>
      <c r="G17" s="21" t="n">
        <v>46274</v>
      </c>
      <c r="H17" s="19" t="inlineStr">
        <is>
          <t>Same as offset/limit. Add a negative case for page=0 or a page beyond the end.</t>
        </is>
      </c>
      <c r="I17" s="20" t="inlineStr">
        <is>
          <t>Standard</t>
        </is>
      </c>
      <c r="J17" s="20" t="inlineStr">
        <is>
          <t>E12</t>
        </is>
      </c>
      <c r="K17" s="22" t="inlineStr">
        <is>
          <t>Not started</t>
        </is>
      </c>
      <c r="L17" s="22" t="n"/>
      <c r="M17" s="22" t="n"/>
      <c r="N17" s="23">
        <f>IFERROR(M17/L17,"")</f>
        <v/>
      </c>
      <c r="O17" s="24" t="n"/>
      <c r="P17" s="25" t="n"/>
    </row>
    <row r="18" ht="30" customHeight="1">
      <c r="A18" s="26" t="inlineStr">
        <is>
          <t>P14</t>
        </is>
      </c>
      <c r="B18" s="27" t="inlineStr">
        <is>
          <t>Collections &amp; Query</t>
        </is>
      </c>
      <c r="C18" s="28" t="inlineStr">
        <is>
          <t>Cursor / keyset pagination</t>
        </is>
      </c>
      <c r="D18" s="28" t="inlineStr">
        <is>
          <t>The response returns next_cursor, used in the following request</t>
        </is>
      </c>
      <c r="E18" s="8" t="inlineStr">
        <is>
          <t>GET</t>
        </is>
      </c>
      <c r="F18" s="8" t="inlineStr">
        <is>
          <t>Gap</t>
        </is>
      </c>
      <c r="G18" s="31" t="inlineStr">
        <is>
          <t>TBD</t>
        </is>
      </c>
      <c r="H18" s="28" t="inlineStr">
        <is>
          <t>NOT supported today: every generated spec is independently runnable with no shared state, so a cursor from call 1 cannot feed call 2. Validate page 1 only, or paste a known cursor into a second endpoint row.</t>
        </is>
      </c>
      <c r="I18" s="8" t="inlineStr">
        <is>
          <t>Essential</t>
        </is>
      </c>
      <c r="J18" s="8" t="inlineStr"/>
      <c r="K18" s="22" t="inlineStr">
        <is>
          <t>Not started</t>
        </is>
      </c>
      <c r="L18" s="22" t="n"/>
      <c r="M18" s="22" t="n"/>
      <c r="N18" s="30">
        <f>IFERROR(M18/L18,"")</f>
        <v/>
      </c>
      <c r="O18" s="24" t="n"/>
      <c r="P18" s="25" t="n"/>
    </row>
    <row r="19" ht="30" customHeight="1">
      <c r="A19" s="17" t="inlineStr">
        <is>
          <t>P15</t>
        </is>
      </c>
      <c r="B19" s="18" t="inlineStr">
        <is>
          <t>Collections &amp; Query</t>
        </is>
      </c>
      <c r="C19" s="19" t="inlineStr">
        <is>
          <t>Link-header pagination (RFC 5988)</t>
        </is>
      </c>
      <c r="D19" s="19" t="inlineStr">
        <is>
          <t>Link: &lt;...&gt;; rel="next"</t>
        </is>
      </c>
      <c r="E19" s="20" t="inlineStr">
        <is>
          <t>GET</t>
        </is>
      </c>
      <c r="F19" s="20" t="inlineStr">
        <is>
          <t>Partial</t>
        </is>
      </c>
      <c r="G19" s="21" t="n">
        <v>46274</v>
      </c>
      <c r="H19" s="19" t="inlineStr">
        <is>
          <t>The Link header can be asserted with a header/contains check, but the generator cannot follow it to the next page.</t>
        </is>
      </c>
      <c r="I19" s="20" t="inlineStr">
        <is>
          <t>Standard</t>
        </is>
      </c>
      <c r="J19" s="20" t="inlineStr">
        <is>
          <t>E13</t>
        </is>
      </c>
      <c r="K19" s="22" t="inlineStr">
        <is>
          <t>Not started</t>
        </is>
      </c>
      <c r="L19" s="22" t="n"/>
      <c r="M19" s="22" t="n"/>
      <c r="N19" s="23">
        <f>IFERROR(M19/L19,"")</f>
        <v/>
      </c>
      <c r="O19" s="24" t="n"/>
      <c r="P19" s="25" t="n"/>
    </row>
    <row r="20" ht="30" customHeight="1">
      <c r="A20" s="26" t="inlineStr">
        <is>
          <t>P16</t>
        </is>
      </c>
      <c r="B20" s="27" t="inlineStr">
        <is>
          <t>Collections &amp; Query</t>
        </is>
      </c>
      <c r="C20" s="28" t="inlineStr">
        <is>
          <t>Sorting &amp; field selection</t>
        </is>
      </c>
      <c r="D20" s="28" t="inlineStr">
        <is>
          <t>?_sort=id&amp;_order=desc, ?fields=id,name</t>
        </is>
      </c>
      <c r="E20" s="8" t="inlineStr">
        <is>
          <t>GET</t>
        </is>
      </c>
      <c r="F20" s="8" t="inlineStr">
        <is>
          <t>Native</t>
        </is>
      </c>
      <c r="G20" s="29" t="n">
        <v>46274</v>
      </c>
      <c r="H20" s="28" t="inlineStr">
        <is>
          <t>Assert ordering by checking the literal value of element 0 with jsonProperty value.</t>
        </is>
      </c>
      <c r="I20" s="8" t="inlineStr">
        <is>
          <t>Standard</t>
        </is>
      </c>
      <c r="J20" s="8" t="inlineStr">
        <is>
          <t>E14</t>
        </is>
      </c>
      <c r="K20" s="22" t="inlineStr">
        <is>
          <t>Not started</t>
        </is>
      </c>
      <c r="L20" s="22" t="n"/>
      <c r="M20" s="22" t="n"/>
      <c r="N20" s="30">
        <f>IFERROR(M20/L20,"")</f>
        <v/>
      </c>
      <c r="O20" s="24" t="n"/>
      <c r="P20" s="25" t="n"/>
    </row>
    <row r="21" ht="30" customHeight="1">
      <c r="A21" s="17" t="inlineStr">
        <is>
          <t>P17</t>
        </is>
      </c>
      <c r="B21" s="18" t="inlineStr">
        <is>
          <t>Collections &amp; Query</t>
        </is>
      </c>
      <c r="C21" s="19" t="inlineStr">
        <is>
          <t>Full-text search</t>
        </is>
      </c>
      <c r="D21" s="19" t="inlineStr">
        <is>
          <t>?q=phone</t>
        </is>
      </c>
      <c r="E21" s="20" t="inlineStr">
        <is>
          <t>GET</t>
        </is>
      </c>
      <c r="F21" s="20" t="inlineStr">
        <is>
          <t>Native</t>
        </is>
      </c>
      <c r="G21" s="21" t="n">
        <v>46274</v>
      </c>
      <c r="H21" s="19" t="inlineStr">
        <is>
          <t>Assert the result array is non-empty and that a returned field contains the search term (bodyContains).</t>
        </is>
      </c>
      <c r="I21" s="20" t="inlineStr">
        <is>
          <t>Standard</t>
        </is>
      </c>
      <c r="J21" s="20" t="inlineStr">
        <is>
          <t>E15</t>
        </is>
      </c>
      <c r="K21" s="22" t="inlineStr">
        <is>
          <t>Not started</t>
        </is>
      </c>
      <c r="L21" s="22" t="n"/>
      <c r="M21" s="22" t="n"/>
      <c r="N21" s="23">
        <f>IFERROR(M21/L21,"")</f>
        <v/>
      </c>
      <c r="O21" s="24" t="n"/>
      <c r="P21" s="25" t="n"/>
    </row>
    <row r="22" ht="30" customHeight="1">
      <c r="A22" s="26" t="inlineStr">
        <is>
          <t>P18</t>
        </is>
      </c>
      <c r="B22" s="27" t="inlineStr">
        <is>
          <t>Collections &amp; Query</t>
        </is>
      </c>
      <c r="C22" s="28" t="inlineStr">
        <is>
          <t>Empty result set</t>
        </is>
      </c>
      <c r="D22" s="28" t="inlineStr">
        <is>
          <t>200 with [] or an envelope with total=0</t>
        </is>
      </c>
      <c r="E22" s="8" t="inlineStr">
        <is>
          <t>GET</t>
        </is>
      </c>
      <c r="F22" s="8" t="inlineStr">
        <is>
          <t>Native</t>
        </is>
      </c>
      <c r="G22" s="29" t="n">
        <v>46274</v>
      </c>
      <c r="H22" s="28" t="inlineStr">
        <is>
          <t>An important negative-adjacent case: assert 200 (not 404) and total=0. jsonArrayNotEmpty must NOT be used here.</t>
        </is>
      </c>
      <c r="I22" s="8" t="inlineStr">
        <is>
          <t>Standard</t>
        </is>
      </c>
      <c r="J22" s="8" t="inlineStr">
        <is>
          <t>E16</t>
        </is>
      </c>
      <c r="K22" s="22" t="inlineStr">
        <is>
          <t>Not started</t>
        </is>
      </c>
      <c r="L22" s="22" t="n"/>
      <c r="M22" s="22" t="n"/>
      <c r="N22" s="30">
        <f>IFERROR(M22/L22,"")</f>
        <v/>
      </c>
      <c r="O22" s="24" t="n"/>
      <c r="P22" s="25" t="n"/>
    </row>
    <row r="23" ht="30" customHeight="1">
      <c r="A23" s="17" t="inlineStr">
        <is>
          <t>P19</t>
        </is>
      </c>
      <c r="B23" s="18" t="inlineStr">
        <is>
          <t>Collections &amp; Query</t>
        </is>
      </c>
      <c r="C23" s="19" t="inlineStr">
        <is>
          <t>Bulk / batch write</t>
        </is>
      </c>
      <c r="D23" s="19" t="inlineStr">
        <is>
          <t>POST an array of records in one call</t>
        </is>
      </c>
      <c r="E23" s="20" t="inlineStr">
        <is>
          <t>POST</t>
        </is>
      </c>
      <c r="F23" s="20" t="inlineStr">
        <is>
          <t>Native</t>
        </is>
      </c>
      <c r="G23" s="21" t="n">
        <v>46274</v>
      </c>
      <c r="H23" s="19" t="inlineStr">
        <is>
          <t>Put the array in the Body field. All payload negatives apply.</t>
        </is>
      </c>
      <c r="I23" s="20" t="inlineStr">
        <is>
          <t>Standard</t>
        </is>
      </c>
      <c r="J23" s="20" t="inlineStr">
        <is>
          <t>E17</t>
        </is>
      </c>
      <c r="K23" s="22" t="inlineStr">
        <is>
          <t>Not started</t>
        </is>
      </c>
      <c r="L23" s="22" t="n"/>
      <c r="M23" s="22" t="n"/>
      <c r="N23" s="23">
        <f>IFERROR(M23/L23,"")</f>
        <v/>
      </c>
      <c r="O23" s="24" t="n"/>
      <c r="P23" s="25" t="n"/>
    </row>
    <row r="24" ht="30" customHeight="1">
      <c r="A24" s="26" t="inlineStr">
        <is>
          <t>P20</t>
        </is>
      </c>
      <c r="B24" s="27" t="inlineStr">
        <is>
          <t>Collections &amp; Query</t>
        </is>
      </c>
      <c r="C24" s="28" t="inlineStr">
        <is>
          <t>Large payload / many records</t>
        </is>
      </c>
      <c r="D24" s="28" t="inlineStr">
        <is>
          <t>Thousands of records, or a multi-MB body</t>
        </is>
      </c>
      <c r="E24" s="8" t="inlineStr">
        <is>
          <t>Any</t>
        </is>
      </c>
      <c r="F24" s="8" t="inlineStr">
        <is>
          <t>Partial</t>
        </is>
      </c>
      <c r="G24" s="29" t="n">
        <v>46274</v>
      </c>
      <c r="H24" s="28" t="inlineStr">
        <is>
          <t>The request body and the expected response are each capped at 20,000 characters by the payload sanitiser; longer samples are truncated before the generator sees them.</t>
        </is>
      </c>
      <c r="I24" s="8" t="inlineStr">
        <is>
          <t>Essential</t>
        </is>
      </c>
      <c r="J24" s="8" t="inlineStr"/>
      <c r="K24" s="22" t="inlineStr">
        <is>
          <t>Not started</t>
        </is>
      </c>
      <c r="L24" s="22" t="n"/>
      <c r="M24" s="22" t="n"/>
      <c r="N24" s="30">
        <f>IFERROR(M24/L24,"")</f>
        <v/>
      </c>
      <c r="O24" s="24" t="n"/>
      <c r="P24" s="25" t="n"/>
    </row>
    <row r="25" ht="30" customHeight="1">
      <c r="A25" s="17" t="inlineStr">
        <is>
          <t>P21</t>
        </is>
      </c>
      <c r="B25" s="18" t="inlineStr">
        <is>
          <t>Content &amp; Protocol</t>
        </is>
      </c>
      <c r="C25" s="19" t="inlineStr">
        <is>
          <t>JSON request / response</t>
        </is>
      </c>
      <c r="D25" s="19" t="inlineStr">
        <is>
          <t>application/json both ways</t>
        </is>
      </c>
      <c r="E25" s="20" t="inlineStr">
        <is>
          <t>Any</t>
        </is>
      </c>
      <c r="F25" s="20" t="inlineStr">
        <is>
          <t>Native</t>
        </is>
      </c>
      <c r="G25" s="21" t="n">
        <v>46274</v>
      </c>
      <c r="H25" s="19" t="inlineStr">
        <is>
          <t>The default and best-supported shape - all eight check kinds apply.</t>
        </is>
      </c>
      <c r="I25" s="20" t="inlineStr">
        <is>
          <t>Exhaustive</t>
        </is>
      </c>
      <c r="J25" s="20" t="inlineStr">
        <is>
          <t>E18</t>
        </is>
      </c>
      <c r="K25" s="22" t="inlineStr">
        <is>
          <t>Not started</t>
        </is>
      </c>
      <c r="L25" s="22" t="n"/>
      <c r="M25" s="22" t="n"/>
      <c r="N25" s="23">
        <f>IFERROR(M25/L25,"")</f>
        <v/>
      </c>
      <c r="O25" s="24" t="n"/>
      <c r="P25" s="25" t="n"/>
    </row>
    <row r="26" ht="30" customHeight="1">
      <c r="A26" s="26" t="inlineStr">
        <is>
          <t>P22</t>
        </is>
      </c>
      <c r="B26" s="27" t="inlineStr">
        <is>
          <t>Content &amp; Protocol</t>
        </is>
      </c>
      <c r="C26" s="28" t="inlineStr">
        <is>
          <t>Bare-array root response</t>
        </is>
      </c>
      <c r="D26" s="28" t="inlineStr">
        <is>
          <t>The body is a top-level JSON array</t>
        </is>
      </c>
      <c r="E26" s="8" t="inlineStr">
        <is>
          <t>GET</t>
        </is>
      </c>
      <c r="F26" s="8" t="inlineStr">
        <is>
          <t>Native</t>
        </is>
      </c>
      <c r="G26" s="29" t="n">
        <v>46274</v>
      </c>
      <c r="H26" s="28" t="inlineStr">
        <is>
          <t>Use jsonArrayNotEmpty with path "" (an empty string means the root) and dotted paths like 0.id.</t>
        </is>
      </c>
      <c r="I26" s="8" t="inlineStr">
        <is>
          <t>Standard</t>
        </is>
      </c>
      <c r="J26" s="8" t="inlineStr">
        <is>
          <t>E18</t>
        </is>
      </c>
      <c r="K26" s="22" t="inlineStr">
        <is>
          <t>Not started</t>
        </is>
      </c>
      <c r="L26" s="22" t="n"/>
      <c r="M26" s="22" t="n"/>
      <c r="N26" s="30">
        <f>IFERROR(M26/L26,"")</f>
        <v/>
      </c>
      <c r="O26" s="24" t="n"/>
      <c r="P26" s="25" t="n"/>
    </row>
    <row r="27" ht="30" customHeight="1">
      <c r="A27" s="17" t="inlineStr">
        <is>
          <t>P23</t>
        </is>
      </c>
      <c r="B27" s="18" t="inlineStr">
        <is>
          <t>Content &amp; Protocol</t>
        </is>
      </c>
      <c r="C27" s="19" t="inlineStr">
        <is>
          <t>Envelope response</t>
        </is>
      </c>
      <c r="D27" s="19" t="inlineStr">
        <is>
          <t>{ data: [...], meta: {...}, errors: [...] }</t>
        </is>
      </c>
      <c r="E27" s="20" t="inlineStr">
        <is>
          <t>GET</t>
        </is>
      </c>
      <c r="F27" s="20" t="inlineStr">
        <is>
          <t>Native</t>
        </is>
      </c>
      <c r="G27" s="21" t="n">
        <v>46274</v>
      </c>
      <c r="H27" s="19" t="inlineStr">
        <is>
          <t>Dotted paths reach into the envelope: data.0.id, meta.total.</t>
        </is>
      </c>
      <c r="I27" s="20" t="inlineStr">
        <is>
          <t>Standard</t>
        </is>
      </c>
      <c r="J27" s="20" t="inlineStr">
        <is>
          <t>E19</t>
        </is>
      </c>
      <c r="K27" s="22" t="inlineStr">
        <is>
          <t>Not started</t>
        </is>
      </c>
      <c r="L27" s="22" t="n"/>
      <c r="M27" s="22" t="n"/>
      <c r="N27" s="23">
        <f>IFERROR(M27/L27,"")</f>
        <v/>
      </c>
      <c r="O27" s="24" t="n"/>
      <c r="P27" s="25" t="n"/>
    </row>
    <row r="28" ht="30" customHeight="1">
      <c r="A28" s="26" t="inlineStr">
        <is>
          <t>P24</t>
        </is>
      </c>
      <c r="B28" s="27" t="inlineStr">
        <is>
          <t>Content &amp; Protocol</t>
        </is>
      </c>
      <c r="C28" s="28" t="inlineStr">
        <is>
          <t>Deeply nested JSON</t>
        </is>
      </c>
      <c r="D28" s="28" t="inlineStr">
        <is>
          <t>Objects inside arrays inside objects</t>
        </is>
      </c>
      <c r="E28" s="8" t="inlineStr">
        <is>
          <t>GET</t>
        </is>
      </c>
      <c r="F28" s="8" t="inlineStr">
        <is>
          <t>Native</t>
        </is>
      </c>
      <c r="G28" s="29" t="n">
        <v>46274</v>
      </c>
      <c r="H28" s="28" t="inlineStr">
        <is>
          <t>Dot notation with array indices - products.0.title. The renderer walks it with a generated getPath() helper.</t>
        </is>
      </c>
      <c r="I28" s="8" t="inlineStr">
        <is>
          <t>Standard</t>
        </is>
      </c>
      <c r="J28" s="8" t="inlineStr">
        <is>
          <t>E20</t>
        </is>
      </c>
      <c r="K28" s="22" t="inlineStr">
        <is>
          <t>Not started</t>
        </is>
      </c>
      <c r="L28" s="22" t="n"/>
      <c r="M28" s="22" t="n"/>
      <c r="N28" s="30">
        <f>IFERROR(M28/L28,"")</f>
        <v/>
      </c>
      <c r="O28" s="24" t="n"/>
      <c r="P28" s="25" t="n"/>
    </row>
    <row r="29" ht="30" customHeight="1">
      <c r="A29" s="17" t="inlineStr">
        <is>
          <t>P25</t>
        </is>
      </c>
      <c r="B29" s="18" t="inlineStr">
        <is>
          <t>Content &amp; Protocol</t>
        </is>
      </c>
      <c r="C29" s="19" t="inlineStr">
        <is>
          <t>XML / SOAP</t>
        </is>
      </c>
      <c r="D29" s="19" t="inlineStr">
        <is>
          <t>text/xml or application/soap+xml, both ways</t>
        </is>
      </c>
      <c r="E29" s="20" t="inlineStr">
        <is>
          <t>POST</t>
        </is>
      </c>
      <c r="F29" s="20" t="inlineStr">
        <is>
          <t>Partial</t>
        </is>
      </c>
      <c r="G29" s="21" t="n">
        <v>46274</v>
      </c>
      <c r="H29" s="19" t="inlineStr">
        <is>
          <t>Runs, but only status, header and bodyContains assertions apply - there is no XPath check kind and no JSON parse. Set Content-Type and SOAPAction yourself in Headers.</t>
        </is>
      </c>
      <c r="I29" s="20" t="inlineStr">
        <is>
          <t>Essential</t>
        </is>
      </c>
      <c r="J29" s="20" t="inlineStr">
        <is>
          <t>E21</t>
        </is>
      </c>
      <c r="K29" s="22" t="inlineStr">
        <is>
          <t>Not started</t>
        </is>
      </c>
      <c r="L29" s="22" t="n"/>
      <c r="M29" s="22" t="n"/>
      <c r="N29" s="23">
        <f>IFERROR(M29/L29,"")</f>
        <v/>
      </c>
      <c r="O29" s="24" t="n"/>
      <c r="P29" s="25" t="n"/>
    </row>
    <row r="30" ht="30" customHeight="1">
      <c r="A30" s="26" t="inlineStr">
        <is>
          <t>P26</t>
        </is>
      </c>
      <c r="B30" s="27" t="inlineStr">
        <is>
          <t>Content &amp; Protocol</t>
        </is>
      </c>
      <c r="C30" s="28" t="inlineStr">
        <is>
          <t>Plain text / HTML response</t>
        </is>
      </c>
      <c r="D30" s="28" t="inlineStr">
        <is>
          <t>text/plain or text/html</t>
        </is>
      </c>
      <c r="E30" s="8" t="inlineStr">
        <is>
          <t>GET</t>
        </is>
      </c>
      <c r="F30" s="8" t="inlineStr">
        <is>
          <t>Partial</t>
        </is>
      </c>
      <c r="G30" s="29" t="n">
        <v>46274</v>
      </c>
      <c r="H30" s="28" t="inlineStr">
        <is>
          <t>Assert with bodyContains and a content-type header check. jsonProperty will throw on a non-JSON body.</t>
        </is>
      </c>
      <c r="I30" s="8" t="inlineStr">
        <is>
          <t>Essential</t>
        </is>
      </c>
      <c r="J30" s="8" t="inlineStr">
        <is>
          <t>E22</t>
        </is>
      </c>
      <c r="K30" s="22" t="inlineStr">
        <is>
          <t>Not started</t>
        </is>
      </c>
      <c r="L30" s="22" t="n"/>
      <c r="M30" s="22" t="n"/>
      <c r="N30" s="30">
        <f>IFERROR(M30/L30,"")</f>
        <v/>
      </c>
      <c r="O30" s="24" t="n"/>
      <c r="P30" s="25" t="n"/>
    </row>
    <row r="31" ht="30" customHeight="1">
      <c r="A31" s="17" t="inlineStr">
        <is>
          <t>P27</t>
        </is>
      </c>
      <c r="B31" s="18" t="inlineStr">
        <is>
          <t>Content &amp; Protocol</t>
        </is>
      </c>
      <c r="C31" s="19" t="inlineStr">
        <is>
          <t>Form-urlencoded body</t>
        </is>
      </c>
      <c r="D31" s="19" t="inlineStr">
        <is>
          <t>a=1&amp;b=2 with application/x-www-form-urlencoded</t>
        </is>
      </c>
      <c r="E31" s="20" t="inlineStr">
        <is>
          <t>POST</t>
        </is>
      </c>
      <c r="F31" s="20" t="inlineStr">
        <is>
          <t>Partial</t>
        </is>
      </c>
      <c r="G31" s="21" t="n">
        <v>46274</v>
      </c>
      <c r="H31" s="19" t="inlineStr">
        <is>
          <t>The body is sent verbatim as a string, so this works - but you MUST add the Content-Type header yourself; the renderer defaults to application/json whenever one is absent.</t>
        </is>
      </c>
      <c r="I31" s="20" t="inlineStr">
        <is>
          <t>Essential</t>
        </is>
      </c>
      <c r="J31" s="20" t="inlineStr">
        <is>
          <t>E23</t>
        </is>
      </c>
      <c r="K31" s="22" t="inlineStr">
        <is>
          <t>Not started</t>
        </is>
      </c>
      <c r="L31" s="22" t="n"/>
      <c r="M31" s="22" t="n"/>
      <c r="N31" s="23">
        <f>IFERROR(M31/L31,"")</f>
        <v/>
      </c>
      <c r="O31" s="24" t="n"/>
      <c r="P31" s="25" t="n"/>
    </row>
    <row r="32" ht="30" customHeight="1">
      <c r="A32" s="26" t="inlineStr">
        <is>
          <t>P28</t>
        </is>
      </c>
      <c r="B32" s="27" t="inlineStr">
        <is>
          <t>Content &amp; Protocol</t>
        </is>
      </c>
      <c r="C32" s="28" t="inlineStr">
        <is>
          <t>Multipart / file upload</t>
        </is>
      </c>
      <c r="D32" s="28" t="inlineStr">
        <is>
          <t>multipart/form-data with a file part</t>
        </is>
      </c>
      <c r="E32" s="8" t="inlineStr">
        <is>
          <t>POST</t>
        </is>
      </c>
      <c r="F32" s="8" t="inlineStr">
        <is>
          <t>Gap</t>
        </is>
      </c>
      <c r="G32" s="31" t="inlineStr">
        <is>
          <t>TBD</t>
        </is>
      </c>
      <c r="H32" s="28" t="inlineStr">
        <is>
          <t>NOT supported: the renderer only ever emits a string 'data' option, never Playwright's multipart option. Covering this needs a code change.</t>
        </is>
      </c>
      <c r="I32" s="8" t="inlineStr"/>
      <c r="J32" s="8" t="inlineStr"/>
      <c r="K32" s="22" t="inlineStr">
        <is>
          <t>Not started</t>
        </is>
      </c>
      <c r="L32" s="22" t="n"/>
      <c r="M32" s="22" t="n"/>
      <c r="N32" s="30">
        <f>IFERROR(M32/L32,"")</f>
        <v/>
      </c>
      <c r="O32" s="24" t="n"/>
      <c r="P32" s="25" t="n"/>
    </row>
    <row r="33" ht="30" customHeight="1">
      <c r="A33" s="17" t="inlineStr">
        <is>
          <t>P29</t>
        </is>
      </c>
      <c r="B33" s="18" t="inlineStr">
        <is>
          <t>Content &amp; Protocol</t>
        </is>
      </c>
      <c r="C33" s="19" t="inlineStr">
        <is>
          <t>Binary / file download</t>
        </is>
      </c>
      <c r="D33" s="19" t="inlineStr">
        <is>
          <t>A PDF, PNG or ZIP response body</t>
        </is>
      </c>
      <c r="E33" s="20" t="inlineStr">
        <is>
          <t>GET</t>
        </is>
      </c>
      <c r="F33" s="20" t="inlineStr">
        <is>
          <t>Partial</t>
        </is>
      </c>
      <c r="G33" s="21" t="n">
        <v>46274</v>
      </c>
      <c r="H33" s="19" t="inlineStr">
        <is>
          <t>Assert status, content-type and content-length. There is no byte-size or checksum check kind.</t>
        </is>
      </c>
      <c r="I33" s="20" t="inlineStr">
        <is>
          <t>Essential</t>
        </is>
      </c>
      <c r="J33" s="20" t="inlineStr">
        <is>
          <t>E24</t>
        </is>
      </c>
      <c r="K33" s="22" t="inlineStr">
        <is>
          <t>Not started</t>
        </is>
      </c>
      <c r="L33" s="22" t="n"/>
      <c r="M33" s="22" t="n"/>
      <c r="N33" s="23">
        <f>IFERROR(M33/L33,"")</f>
        <v/>
      </c>
      <c r="O33" s="24" t="n"/>
      <c r="P33" s="25" t="n"/>
    </row>
    <row r="34" ht="30" customHeight="1">
      <c r="A34" s="26" t="inlineStr">
        <is>
          <t>P30</t>
        </is>
      </c>
      <c r="B34" s="27" t="inlineStr">
        <is>
          <t>Content &amp; Protocol</t>
        </is>
      </c>
      <c r="C34" s="28" t="inlineStr">
        <is>
          <t>Compressed response (gzip/br)</t>
        </is>
      </c>
      <c r="D34" s="28" t="inlineStr">
        <is>
          <t>Content-Encoding: gzip</t>
        </is>
      </c>
      <c r="E34" s="8" t="inlineStr">
        <is>
          <t>GET</t>
        </is>
      </c>
      <c r="F34" s="8" t="inlineStr">
        <is>
          <t>Native</t>
        </is>
      </c>
      <c r="G34" s="29" t="n">
        <v>46274</v>
      </c>
      <c r="H34" s="28" t="inlineStr">
        <is>
          <t>Playwright's request context decompresses transparently, so ordinary JSON checks work.</t>
        </is>
      </c>
      <c r="I34" s="8" t="inlineStr">
        <is>
          <t>Essential</t>
        </is>
      </c>
      <c r="J34" s="8" t="inlineStr">
        <is>
          <t>E25</t>
        </is>
      </c>
      <c r="K34" s="22" t="inlineStr">
        <is>
          <t>Not started</t>
        </is>
      </c>
      <c r="L34" s="22" t="n"/>
      <c r="M34" s="22" t="n"/>
      <c r="N34" s="30">
        <f>IFERROR(M34/L34,"")</f>
        <v/>
      </c>
      <c r="O34" s="24" t="n"/>
      <c r="P34" s="25" t="n"/>
    </row>
    <row r="35" ht="30" customHeight="1">
      <c r="A35" s="17" t="inlineStr">
        <is>
          <t>P31</t>
        </is>
      </c>
      <c r="B35" s="18" t="inlineStr">
        <is>
          <t>Content &amp; Protocol</t>
        </is>
      </c>
      <c r="C35" s="19" t="inlineStr">
        <is>
          <t>GraphQL</t>
        </is>
      </c>
      <c r="D35" s="19" t="inlineStr">
        <is>
          <t>One POST endpoint, always 200, errors carried in the body</t>
        </is>
      </c>
      <c r="E35" s="20" t="inlineStr">
        <is>
          <t>POST</t>
        </is>
      </c>
      <c r="F35" s="20" t="inlineStr">
        <is>
          <t>Partial</t>
        </is>
      </c>
      <c r="G35" s="21" t="n">
        <v>46274</v>
      </c>
      <c r="H35" s="19" t="inlineStr">
        <is>
          <t>Works as a plain POST with a JSON body. Assert the data.* fields - status 200 alone is not enough here, because a GraphQL error is still a 200.</t>
        </is>
      </c>
      <c r="I35" s="20" t="inlineStr">
        <is>
          <t>Standard</t>
        </is>
      </c>
      <c r="J35" s="20" t="inlineStr">
        <is>
          <t>E26</t>
        </is>
      </c>
      <c r="K35" s="22" t="inlineStr">
        <is>
          <t>Not started</t>
        </is>
      </c>
      <c r="L35" s="22" t="n"/>
      <c r="M35" s="22" t="n"/>
      <c r="N35" s="23">
        <f>IFERROR(M35/L35,"")</f>
        <v/>
      </c>
      <c r="O35" s="24" t="n"/>
      <c r="P35" s="25" t="n"/>
    </row>
    <row r="36" ht="30" customHeight="1">
      <c r="A36" s="26" t="inlineStr">
        <is>
          <t>P32</t>
        </is>
      </c>
      <c r="B36" s="27" t="inlineStr">
        <is>
          <t>Content &amp; Protocol</t>
        </is>
      </c>
      <c r="C36" s="28" t="inlineStr">
        <is>
          <t>gRPC / gRPC-Web</t>
        </is>
      </c>
      <c r="D36" s="28" t="inlineStr">
        <is>
          <t>Protobuf over HTTP/2</t>
        </is>
      </c>
      <c r="E36" s="8" t="inlineStr">
        <is>
          <t>POST</t>
        </is>
      </c>
      <c r="F36" s="8" t="inlineStr">
        <is>
          <t>Gap</t>
        </is>
      </c>
      <c r="G36" s="31" t="inlineStr">
        <is>
          <t>TBD</t>
        </is>
      </c>
      <c r="H36" s="28" t="inlineStr">
        <is>
          <t>NOT supported: no proto handling and no binary framing in the request renderer.</t>
        </is>
      </c>
      <c r="I36" s="8" t="inlineStr"/>
      <c r="J36" s="8" t="inlineStr"/>
      <c r="K36" s="22" t="inlineStr">
        <is>
          <t>Not started</t>
        </is>
      </c>
      <c r="L36" s="22" t="n"/>
      <c r="M36" s="22" t="n"/>
      <c r="N36" s="30">
        <f>IFERROR(M36/L36,"")</f>
        <v/>
      </c>
      <c r="O36" s="24" t="n"/>
      <c r="P36" s="25" t="n"/>
    </row>
    <row r="37" ht="30" customHeight="1">
      <c r="A37" s="17" t="inlineStr">
        <is>
          <t>P33</t>
        </is>
      </c>
      <c r="B37" s="18" t="inlineStr">
        <is>
          <t>Content &amp; Protocol</t>
        </is>
      </c>
      <c r="C37" s="19" t="inlineStr">
        <is>
          <t>WebSocket / SSE streaming</t>
        </is>
      </c>
      <c r="D37" s="19" t="inlineStr">
        <is>
          <t>A long-lived connection carrying streamed events</t>
        </is>
      </c>
      <c r="E37" s="20" t="inlineStr">
        <is>
          <t>GET</t>
        </is>
      </c>
      <c r="F37" s="20" t="inlineStr">
        <is>
          <t>Gap</t>
        </is>
      </c>
      <c r="G37" s="31" t="inlineStr">
        <is>
          <t>TBD</t>
        </is>
      </c>
      <c r="H37" s="19" t="inlineStr">
        <is>
          <t>NOT supported: the Playwright request context is strictly request/response.</t>
        </is>
      </c>
      <c r="I37" s="20" t="inlineStr"/>
      <c r="J37" s="20" t="inlineStr"/>
      <c r="K37" s="22" t="inlineStr">
        <is>
          <t>Not started</t>
        </is>
      </c>
      <c r="L37" s="22" t="n"/>
      <c r="M37" s="22" t="n"/>
      <c r="N37" s="23">
        <f>IFERROR(M37/L37,"")</f>
        <v/>
      </c>
      <c r="O37" s="24" t="n"/>
      <c r="P37" s="25" t="n"/>
    </row>
    <row r="38" ht="30" customHeight="1">
      <c r="A38" s="26" t="inlineStr">
        <is>
          <t>P34</t>
        </is>
      </c>
      <c r="B38" s="27" t="inlineStr">
        <is>
          <t>Auth &amp; Security</t>
        </is>
      </c>
      <c r="C38" s="28" t="inlineStr">
        <is>
          <t>Public / no auth</t>
        </is>
      </c>
      <c r="D38" s="28" t="inlineStr">
        <is>
          <t>No credential required</t>
        </is>
      </c>
      <c r="E38" s="8" t="inlineStr">
        <is>
          <t>Any</t>
        </is>
      </c>
      <c r="F38" s="8" t="inlineStr">
        <is>
          <t>Native</t>
        </is>
      </c>
      <c r="G38" s="29" t="n">
        <v>46274</v>
      </c>
      <c r="H38" s="28" t="inlineStr">
        <is>
          <t>Set Auth type to 'none'. The whole AUTH block of the scenario matrix is then skipped automatically.</t>
        </is>
      </c>
      <c r="I38" s="8" t="inlineStr">
        <is>
          <t>Standard</t>
        </is>
      </c>
      <c r="J38" s="8" t="inlineStr">
        <is>
          <t>E27</t>
        </is>
      </c>
      <c r="K38" s="22" t="inlineStr">
        <is>
          <t>Not started</t>
        </is>
      </c>
      <c r="L38" s="22" t="n"/>
      <c r="M38" s="22" t="n"/>
      <c r="N38" s="30">
        <f>IFERROR(M38/L38,"")</f>
        <v/>
      </c>
      <c r="O38" s="24" t="n"/>
      <c r="P38" s="25" t="n"/>
    </row>
    <row r="39" ht="30" customHeight="1">
      <c r="A39" s="17" t="inlineStr">
        <is>
          <t>P35</t>
        </is>
      </c>
      <c r="B39" s="18" t="inlineStr">
        <is>
          <t>Auth &amp; Security</t>
        </is>
      </c>
      <c r="C39" s="19" t="inlineStr">
        <is>
          <t>Bearer / JWT (static token)</t>
        </is>
      </c>
      <c r="D39" s="19" t="inlineStr">
        <is>
          <t>Authorization: Bearer &lt;token&gt;</t>
        </is>
      </c>
      <c r="E39" s="20" t="inlineStr">
        <is>
          <t>Any</t>
        </is>
      </c>
      <c r="F39" s="20" t="inlineStr">
        <is>
          <t>Native</t>
        </is>
      </c>
      <c r="G39" s="21" t="n">
        <v>46274</v>
      </c>
      <c r="H39" s="19" t="inlineStr">
        <is>
          <t>Paste the token WITHOUT the 'Bearer ' prefix - the renderer adds the scheme. A pasted header line or scheme is stripped defensively.</t>
        </is>
      </c>
      <c r="I39" s="20" t="inlineStr">
        <is>
          <t>Standard</t>
        </is>
      </c>
      <c r="J39" s="20" t="inlineStr">
        <is>
          <t>E28</t>
        </is>
      </c>
      <c r="K39" s="22" t="inlineStr">
        <is>
          <t>Not started</t>
        </is>
      </c>
      <c r="L39" s="22" t="n"/>
      <c r="M39" s="22" t="n"/>
      <c r="N39" s="23">
        <f>IFERROR(M39/L39,"")</f>
        <v/>
      </c>
      <c r="O39" s="24" t="n"/>
      <c r="P39" s="25" t="n"/>
    </row>
    <row r="40" ht="30" customHeight="1">
      <c r="A40" s="26" t="inlineStr">
        <is>
          <t>P36</t>
        </is>
      </c>
      <c r="B40" s="27" t="inlineStr">
        <is>
          <t>Auth &amp; Security</t>
        </is>
      </c>
      <c r="C40" s="28" t="inlineStr">
        <is>
          <t>Basic auth</t>
        </is>
      </c>
      <c r="D40" s="28" t="inlineStr">
        <is>
          <t>Authorization: Basic base64(user:pass)</t>
        </is>
      </c>
      <c r="E40" s="8" t="inlineStr">
        <is>
          <t>Any</t>
        </is>
      </c>
      <c r="F40" s="8" t="inlineStr">
        <is>
          <t>Native</t>
        </is>
      </c>
      <c r="G40" s="29" t="n">
        <v>46274</v>
      </c>
      <c r="H40" s="28" t="inlineStr">
        <is>
          <t>Enter it as username:password in plain text; the renderer base64-encodes it.</t>
        </is>
      </c>
      <c r="I40" s="8" t="inlineStr">
        <is>
          <t>Standard</t>
        </is>
      </c>
      <c r="J40" s="8" t="inlineStr">
        <is>
          <t>E29</t>
        </is>
      </c>
      <c r="K40" s="22" t="inlineStr">
        <is>
          <t>Not started</t>
        </is>
      </c>
      <c r="L40" s="22" t="n"/>
      <c r="M40" s="22" t="n"/>
      <c r="N40" s="30">
        <f>IFERROR(M40/L40,"")</f>
        <v/>
      </c>
      <c r="O40" s="24" t="n"/>
      <c r="P40" s="25" t="n"/>
    </row>
    <row r="41" ht="30" customHeight="1">
      <c r="A41" s="17" t="inlineStr">
        <is>
          <t>P37</t>
        </is>
      </c>
      <c r="B41" s="18" t="inlineStr">
        <is>
          <t>Auth &amp; Security</t>
        </is>
      </c>
      <c r="C41" s="19" t="inlineStr">
        <is>
          <t>API key in a header</t>
        </is>
      </c>
      <c r="D41" s="19" t="inlineStr">
        <is>
          <t>X-API-Key: &lt;key&gt;</t>
        </is>
      </c>
      <c r="E41" s="20" t="inlineStr">
        <is>
          <t>Any</t>
        </is>
      </c>
      <c r="F41" s="20" t="inlineStr">
        <is>
          <t>Native</t>
        </is>
      </c>
      <c r="G41" s="21" t="n">
        <v>46274</v>
      </c>
      <c r="H41" s="19" t="inlineStr">
        <is>
          <t>Auth type 'apikey' always sends a header named X-API-Key.</t>
        </is>
      </c>
      <c r="I41" s="20" t="inlineStr">
        <is>
          <t>Standard</t>
        </is>
      </c>
      <c r="J41" s="20" t="inlineStr">
        <is>
          <t>E30</t>
        </is>
      </c>
      <c r="K41" s="22" t="inlineStr">
        <is>
          <t>Not started</t>
        </is>
      </c>
      <c r="L41" s="22" t="n"/>
      <c r="M41" s="22" t="n"/>
      <c r="N41" s="23">
        <f>IFERROR(M41/L41,"")</f>
        <v/>
      </c>
      <c r="O41" s="24" t="n"/>
      <c r="P41" s="25" t="n"/>
    </row>
    <row r="42" ht="30" customHeight="1">
      <c r="A42" s="26" t="inlineStr">
        <is>
          <t>P38</t>
        </is>
      </c>
      <c r="B42" s="27" t="inlineStr">
        <is>
          <t>Auth &amp; Security</t>
        </is>
      </c>
      <c r="C42" s="28" t="inlineStr">
        <is>
          <t>API key, custom header name</t>
        </is>
      </c>
      <c r="D42" s="28" t="inlineStr">
        <is>
          <t>apikey:, X-Auth-Token:, client-id: ...</t>
        </is>
      </c>
      <c r="E42" s="8" t="inlineStr">
        <is>
          <t>Any</t>
        </is>
      </c>
      <c r="F42" s="8" t="inlineStr">
        <is>
          <t>Partial</t>
        </is>
      </c>
      <c r="G42" s="29" t="n">
        <v>46274</v>
      </c>
      <c r="H42" s="28" t="inlineStr">
        <is>
          <t>The 'apikey' auth type hardcodes X-API-Key. For any other name set Auth to 'none' and add the key as an ordinary Headers row - but then the no-credential negative case will not strip it.</t>
        </is>
      </c>
      <c r="I42" s="8" t="inlineStr">
        <is>
          <t>Standard</t>
        </is>
      </c>
      <c r="J42" s="8" t="inlineStr"/>
      <c r="K42" s="22" t="inlineStr">
        <is>
          <t>Not started</t>
        </is>
      </c>
      <c r="L42" s="22" t="n"/>
      <c r="M42" s="22" t="n"/>
      <c r="N42" s="30">
        <f>IFERROR(M42/L42,"")</f>
        <v/>
      </c>
      <c r="O42" s="24" t="n"/>
      <c r="P42" s="25" t="n"/>
    </row>
    <row r="43" ht="30" customHeight="1">
      <c r="A43" s="17" t="inlineStr">
        <is>
          <t>P39</t>
        </is>
      </c>
      <c r="B43" s="18" t="inlineStr">
        <is>
          <t>Auth &amp; Security</t>
        </is>
      </c>
      <c r="C43" s="19" t="inlineStr">
        <is>
          <t>API key in the query string</t>
        </is>
      </c>
      <c r="D43" s="19" t="inlineStr">
        <is>
          <t>?api_key=&lt;key&gt;</t>
        </is>
      </c>
      <c r="E43" s="20" t="inlineStr">
        <is>
          <t>GET</t>
        </is>
      </c>
      <c r="F43" s="20" t="inlineStr">
        <is>
          <t>Partial</t>
        </is>
      </c>
      <c r="G43" s="21" t="n">
        <v>46274</v>
      </c>
      <c r="H43" s="19" t="inlineStr">
        <is>
          <t>Put it in the URL. It is then stored and displayed in plain text in the generated spec - avoid this for a real secret.</t>
        </is>
      </c>
      <c r="I43" s="20" t="inlineStr">
        <is>
          <t>Essential</t>
        </is>
      </c>
      <c r="J43" s="20" t="inlineStr"/>
      <c r="K43" s="22" t="inlineStr">
        <is>
          <t>Not started</t>
        </is>
      </c>
      <c r="L43" s="22" t="n"/>
      <c r="M43" s="22" t="n"/>
      <c r="N43" s="23">
        <f>IFERROR(M43/L43,"")</f>
        <v/>
      </c>
      <c r="O43" s="24" t="n"/>
      <c r="P43" s="25" t="n"/>
    </row>
    <row r="44" ht="30" customHeight="1">
      <c r="A44" s="26" t="inlineStr">
        <is>
          <t>P40</t>
        </is>
      </c>
      <c r="B44" s="27" t="inlineStr">
        <is>
          <t>Auth &amp; Security</t>
        </is>
      </c>
      <c r="C44" s="28" t="inlineStr">
        <is>
          <t>OAuth2 client-credentials</t>
        </is>
      </c>
      <c r="D44" s="28" t="inlineStr">
        <is>
          <t>POST /token, then use the returned access_token</t>
        </is>
      </c>
      <c r="E44" s="8" t="inlineStr">
        <is>
          <t>Any</t>
        </is>
      </c>
      <c r="F44" s="8" t="inlineStr">
        <is>
          <t>Gap</t>
        </is>
      </c>
      <c r="G44" s="31" t="inlineStr">
        <is>
          <t>TBD</t>
        </is>
      </c>
      <c r="H44" s="28" t="inlineStr">
        <is>
          <t>No token-fetch step exists. Fetch a token out of band and paste it as a Bearer value; re-paste it when it expires.</t>
        </is>
      </c>
      <c r="I44" s="8" t="inlineStr"/>
      <c r="J44" s="8" t="inlineStr"/>
      <c r="K44" s="22" t="inlineStr">
        <is>
          <t>Not started</t>
        </is>
      </c>
      <c r="L44" s="22" t="n"/>
      <c r="M44" s="22" t="n"/>
      <c r="N44" s="30">
        <f>IFERROR(M44/L44,"")</f>
        <v/>
      </c>
      <c r="O44" s="24" t="n"/>
      <c r="P44" s="25" t="n"/>
    </row>
    <row r="45" ht="30" customHeight="1">
      <c r="A45" s="17" t="inlineStr">
        <is>
          <t>P41</t>
        </is>
      </c>
      <c r="B45" s="18" t="inlineStr">
        <is>
          <t>Auth &amp; Security</t>
        </is>
      </c>
      <c r="C45" s="19" t="inlineStr">
        <is>
          <t>Login -&gt; token -&gt; reuse (chained)</t>
        </is>
      </c>
      <c r="D45" s="19" t="inlineStr">
        <is>
          <t>Call 1 logs in, call 2 uses the returned token</t>
        </is>
      </c>
      <c r="E45" s="20" t="inlineStr">
        <is>
          <t>POST + GET</t>
        </is>
      </c>
      <c r="F45" s="20" t="inlineStr">
        <is>
          <t>Gap</t>
        </is>
      </c>
      <c r="G45" s="31" t="inlineStr">
        <is>
          <t>TBD</t>
        </is>
      </c>
      <c r="H45" s="19" t="inlineStr">
        <is>
          <t>NOT supported by design: the generator is instructed that every case must be independently runnable, with no shared state and no ordering between cases.</t>
        </is>
      </c>
      <c r="I45" s="20" t="inlineStr"/>
      <c r="J45" s="20" t="inlineStr"/>
      <c r="K45" s="22" t="inlineStr">
        <is>
          <t>Not started</t>
        </is>
      </c>
      <c r="L45" s="22" t="n"/>
      <c r="M45" s="22" t="n"/>
      <c r="N45" s="23">
        <f>IFERROR(M45/L45,"")</f>
        <v/>
      </c>
      <c r="O45" s="24" t="n"/>
      <c r="P45" s="25" t="n"/>
    </row>
    <row r="46" ht="30" customHeight="1">
      <c r="A46" s="26" t="inlineStr">
        <is>
          <t>P42</t>
        </is>
      </c>
      <c r="B46" s="27" t="inlineStr">
        <is>
          <t>Auth &amp; Security</t>
        </is>
      </c>
      <c r="C46" s="28" t="inlineStr">
        <is>
          <t>Session cookie / CSRF</t>
        </is>
      </c>
      <c r="D46" s="28" t="inlineStr">
        <is>
          <t>Set-Cookie on login, the cookie replayed on later calls</t>
        </is>
      </c>
      <c r="E46" s="8" t="inlineStr">
        <is>
          <t>Any</t>
        </is>
      </c>
      <c r="F46" s="8" t="inlineStr">
        <is>
          <t>Gap</t>
        </is>
      </c>
      <c r="G46" s="31" t="inlineStr">
        <is>
          <t>TBD</t>
        </is>
      </c>
      <c r="H46" s="28" t="inlineStr">
        <is>
          <t>There is no shared cookie jar across specs. A Set-Cookie header can be asserted, but not replayed.</t>
        </is>
      </c>
      <c r="I46" s="8" t="inlineStr"/>
      <c r="J46" s="8" t="inlineStr"/>
      <c r="K46" s="22" t="inlineStr">
        <is>
          <t>Not started</t>
        </is>
      </c>
      <c r="L46" s="22" t="n"/>
      <c r="M46" s="22" t="n"/>
      <c r="N46" s="30">
        <f>IFERROR(M46/L46,"")</f>
        <v/>
      </c>
      <c r="O46" s="24" t="n"/>
      <c r="P46" s="25" t="n"/>
    </row>
    <row r="47" ht="30" customHeight="1">
      <c r="A47" s="17" t="inlineStr">
        <is>
          <t>P43</t>
        </is>
      </c>
      <c r="B47" s="18" t="inlineStr">
        <is>
          <t>Auth &amp; Security</t>
        </is>
      </c>
      <c r="C47" s="19" t="inlineStr">
        <is>
          <t>mTLS / client certificate</t>
        </is>
      </c>
      <c r="D47" s="19" t="inlineStr">
        <is>
          <t>A client certificate presented at the TLS handshake</t>
        </is>
      </c>
      <c r="E47" s="20" t="inlineStr">
        <is>
          <t>Any</t>
        </is>
      </c>
      <c r="F47" s="20" t="inlineStr">
        <is>
          <t>Gap</t>
        </is>
      </c>
      <c r="G47" s="31" t="inlineStr">
        <is>
          <t>TBD</t>
        </is>
      </c>
      <c r="H47" s="19" t="inlineStr">
        <is>
          <t>NOT supported: no client-certificate configuration is surfaced anywhere in the API spec payload.</t>
        </is>
      </c>
      <c r="I47" s="20" t="inlineStr"/>
      <c r="J47" s="20" t="inlineStr"/>
      <c r="K47" s="22" t="inlineStr">
        <is>
          <t>Not started</t>
        </is>
      </c>
      <c r="L47" s="22" t="n"/>
      <c r="M47" s="22" t="n"/>
      <c r="N47" s="23">
        <f>IFERROR(M47/L47,"")</f>
        <v/>
      </c>
      <c r="O47" s="24" t="n"/>
      <c r="P47" s="25" t="n"/>
    </row>
    <row r="48" ht="30" customHeight="1">
      <c r="A48" s="26" t="inlineStr">
        <is>
          <t>P44</t>
        </is>
      </c>
      <c r="B48" s="27" t="inlineStr">
        <is>
          <t>Auth &amp; Security</t>
        </is>
      </c>
      <c r="C48" s="28" t="inlineStr">
        <is>
          <t>HMAC-signed request (AWS SigV4)</t>
        </is>
      </c>
      <c r="D48" s="28" t="inlineStr">
        <is>
          <t>A signature computed per request from the body and a timestamp</t>
        </is>
      </c>
      <c r="E48" s="8" t="inlineStr">
        <is>
          <t>Any</t>
        </is>
      </c>
      <c r="F48" s="8" t="inlineStr">
        <is>
          <t>Gap</t>
        </is>
      </c>
      <c r="G48" s="31" t="inlineStr">
        <is>
          <t>TBD</t>
        </is>
      </c>
      <c r="H48" s="28" t="inlineStr">
        <is>
          <t>NOT supported: the signature must be recomputed at request time, and the renderer only emits static headers.</t>
        </is>
      </c>
      <c r="I48" s="8" t="inlineStr"/>
      <c r="J48" s="8" t="inlineStr"/>
      <c r="K48" s="22" t="inlineStr">
        <is>
          <t>Not started</t>
        </is>
      </c>
      <c r="L48" s="22" t="n"/>
      <c r="M48" s="22" t="n"/>
      <c r="N48" s="30">
        <f>IFERROR(M48/L48,"")</f>
        <v/>
      </c>
      <c r="O48" s="24" t="n"/>
      <c r="P48" s="25" t="n"/>
    </row>
    <row r="49" ht="30" customHeight="1">
      <c r="A49" s="17" t="inlineStr">
        <is>
          <t>P45</t>
        </is>
      </c>
      <c r="B49" s="18" t="inlineStr">
        <is>
          <t>Auth &amp; Security</t>
        </is>
      </c>
      <c r="C49" s="19" t="inlineStr">
        <is>
          <t>Missing credential -&gt; 401/403</t>
        </is>
      </c>
      <c r="D49" s="19" t="inlineStr">
        <is>
          <t>The documented request with no Authorization header</t>
        </is>
      </c>
      <c r="E49" s="20" t="inlineStr">
        <is>
          <t>Any</t>
        </is>
      </c>
      <c r="F49" s="20" t="inlineStr">
        <is>
          <t>Native</t>
        </is>
      </c>
      <c r="G49" s="21" t="n">
        <v>46274</v>
      </c>
      <c r="H49" s="19" t="inlineStr">
        <is>
          <t>A [core] row. The generator emits includeAuth:false and the renderer strips both Authorization and X-API-Key.</t>
        </is>
      </c>
      <c r="I49" s="20" t="inlineStr">
        <is>
          <t>Standard</t>
        </is>
      </c>
      <c r="J49" s="20" t="inlineStr">
        <is>
          <t>E31</t>
        </is>
      </c>
      <c r="K49" s="22" t="inlineStr">
        <is>
          <t>Not started</t>
        </is>
      </c>
      <c r="L49" s="22" t="n"/>
      <c r="M49" s="22" t="n"/>
      <c r="N49" s="23">
        <f>IFERROR(M49/L49,"")</f>
        <v/>
      </c>
      <c r="O49" s="24" t="n"/>
      <c r="P49" s="25" t="n"/>
    </row>
    <row r="50" ht="30" customHeight="1">
      <c r="A50" s="26" t="inlineStr">
        <is>
          <t>P46</t>
        </is>
      </c>
      <c r="B50" s="27" t="inlineStr">
        <is>
          <t>Auth &amp; Security</t>
        </is>
      </c>
      <c r="C50" s="28" t="inlineStr">
        <is>
          <t>Malformed / expired credential</t>
        </is>
      </c>
      <c r="D50" s="28" t="inlineStr">
        <is>
          <t>A well-formed but invalid token</t>
        </is>
      </c>
      <c r="E50" s="8" t="inlineStr">
        <is>
          <t>Any</t>
        </is>
      </c>
      <c r="F50" s="8" t="inlineStr">
        <is>
          <t>Partial</t>
        </is>
      </c>
      <c r="G50" s="29" t="n">
        <v>46274</v>
      </c>
      <c r="H50" s="28" t="inlineStr">
        <is>
          <t>The [wide] and [deep] rows cover this, but a genuinely expired token has to come from you - the generator will not invent one.</t>
        </is>
      </c>
      <c r="I50" s="8" t="inlineStr">
        <is>
          <t>Exhaustive</t>
        </is>
      </c>
      <c r="J50" s="8" t="inlineStr"/>
      <c r="K50" s="22" t="inlineStr">
        <is>
          <t>Not started</t>
        </is>
      </c>
      <c r="L50" s="22" t="n"/>
      <c r="M50" s="22" t="n"/>
      <c r="N50" s="30">
        <f>IFERROR(M50/L50,"")</f>
        <v/>
      </c>
      <c r="O50" s="24" t="n"/>
      <c r="P50" s="25" t="n"/>
    </row>
    <row r="51" ht="30" customHeight="1">
      <c r="A51" s="17" t="inlineStr">
        <is>
          <t>P47</t>
        </is>
      </c>
      <c r="B51" s="18" t="inlineStr">
        <is>
          <t>Auth &amp; Security</t>
        </is>
      </c>
      <c r="C51" s="19" t="inlineStr">
        <is>
          <t>Role / scope-based 403</t>
        </is>
      </c>
      <c r="D51" s="19" t="inlineStr">
        <is>
          <t>A valid credential without the required scope</t>
        </is>
      </c>
      <c r="E51" s="20" t="inlineStr">
        <is>
          <t>Any</t>
        </is>
      </c>
      <c r="F51" s="20" t="inlineStr">
        <is>
          <t>Partial</t>
        </is>
      </c>
      <c r="G51" s="21" t="n">
        <v>46274</v>
      </c>
      <c r="H51" s="19" t="inlineStr">
        <is>
          <t>One run carries one configured credential. Validate this as a second endpoint row using the lower-privileged token.</t>
        </is>
      </c>
      <c r="I51" s="20" t="inlineStr">
        <is>
          <t>Exhaustive</t>
        </is>
      </c>
      <c r="J51" s="20" t="inlineStr"/>
      <c r="K51" s="22" t="inlineStr">
        <is>
          <t>Not started</t>
        </is>
      </c>
      <c r="L51" s="22" t="n"/>
      <c r="M51" s="22" t="n"/>
      <c r="N51" s="23">
        <f>IFERROR(M51/L51,"")</f>
        <v/>
      </c>
      <c r="O51" s="24" t="n"/>
      <c r="P51" s="25" t="n"/>
    </row>
    <row r="52" ht="30" customHeight="1">
      <c r="A52" s="26" t="inlineStr">
        <is>
          <t>P48</t>
        </is>
      </c>
      <c r="B52" s="27" t="inlineStr">
        <is>
          <t>Auth &amp; Security</t>
        </is>
      </c>
      <c r="C52" s="28" t="inlineStr">
        <is>
          <t>Injection probe (SQLi / XSS)</t>
        </is>
      </c>
      <c r="D52" s="28" t="inlineStr">
        <is>
          <t>A SQL- or script-shaped value in a query or body field</t>
        </is>
      </c>
      <c r="E52" s="8" t="inlineStr">
        <is>
          <t>Any</t>
        </is>
      </c>
      <c r="F52" s="8" t="inlineStr">
        <is>
          <t>Native</t>
        </is>
      </c>
      <c r="G52" s="29" t="n">
        <v>46274</v>
      </c>
      <c r="H52" s="28" t="inlineStr">
        <is>
          <t>A [deep] row: asserts a clean 4xx and that the raw payload is not echoed back. Requires Exhaustive depth.</t>
        </is>
      </c>
      <c r="I52" s="8" t="inlineStr">
        <is>
          <t>Exhaustive</t>
        </is>
      </c>
      <c r="J52" s="8" t="inlineStr"/>
      <c r="K52" s="22" t="inlineStr">
        <is>
          <t>Not started</t>
        </is>
      </c>
      <c r="L52" s="22" t="n"/>
      <c r="M52" s="22" t="n"/>
      <c r="N52" s="30">
        <f>IFERROR(M52/L52,"")</f>
        <v/>
      </c>
      <c r="O52" s="24" t="n"/>
      <c r="P52" s="25" t="n"/>
    </row>
    <row r="53" ht="30" customHeight="1">
      <c r="A53" s="17" t="inlineStr">
        <is>
          <t>P49</t>
        </is>
      </c>
      <c r="B53" s="18" t="inlineStr">
        <is>
          <t>Stateful &amp; Async</t>
        </is>
      </c>
      <c r="C53" s="19" t="inlineStr">
        <is>
          <t>Async accept + poll</t>
        </is>
      </c>
      <c r="D53" s="19" t="inlineStr">
        <is>
          <t>202 Accepted plus a status URL polled until done</t>
        </is>
      </c>
      <c r="E53" s="20" t="inlineStr">
        <is>
          <t>POST</t>
        </is>
      </c>
      <c r="F53" s="20" t="inlineStr">
        <is>
          <t>Gap</t>
        </is>
      </c>
      <c r="G53" s="31" t="inlineStr">
        <is>
          <t>TBD</t>
        </is>
      </c>
      <c r="H53" s="19" t="inlineStr">
        <is>
          <t>NOT supported: needs a polling loop and state carried between calls. Assert the 202 and the Location header only.</t>
        </is>
      </c>
      <c r="I53" s="20" t="inlineStr"/>
      <c r="J53" s="20" t="inlineStr"/>
      <c r="K53" s="22" t="inlineStr">
        <is>
          <t>Not started</t>
        </is>
      </c>
      <c r="L53" s="22" t="n"/>
      <c r="M53" s="22" t="n"/>
      <c r="N53" s="23">
        <f>IFERROR(M53/L53,"")</f>
        <v/>
      </c>
      <c r="O53" s="24" t="n"/>
      <c r="P53" s="25" t="n"/>
    </row>
    <row r="54" ht="30" customHeight="1">
      <c r="A54" s="26" t="inlineStr">
        <is>
          <t>P50</t>
        </is>
      </c>
      <c r="B54" s="27" t="inlineStr">
        <is>
          <t>Stateful &amp; Async</t>
        </is>
      </c>
      <c r="C54" s="28" t="inlineStr">
        <is>
          <t>Slow / long-running call</t>
        </is>
      </c>
      <c r="D54" s="28" t="inlineStr">
        <is>
          <t>A multi-second response</t>
        </is>
      </c>
      <c r="E54" s="8" t="inlineStr">
        <is>
          <t>Any</t>
        </is>
      </c>
      <c r="F54" s="8" t="inlineStr">
        <is>
          <t>Partial</t>
        </is>
      </c>
      <c r="G54" s="29" t="n">
        <v>46274</v>
      </c>
      <c r="H54" s="28" t="inlineStr">
        <is>
          <t>Fine while it stays under the runner timeout. Raise the responseTimeUnderMs ceiling the generator picks, or it will fail a legitimately slow API.</t>
        </is>
      </c>
      <c r="I54" s="8" t="inlineStr">
        <is>
          <t>Essential</t>
        </is>
      </c>
      <c r="J54" s="8" t="inlineStr">
        <is>
          <t>E32</t>
        </is>
      </c>
      <c r="K54" s="22" t="inlineStr">
        <is>
          <t>Not started</t>
        </is>
      </c>
      <c r="L54" s="22" t="n"/>
      <c r="M54" s="22" t="n"/>
      <c r="N54" s="30">
        <f>IFERROR(M54/L54,"")</f>
        <v/>
      </c>
      <c r="O54" s="24" t="n"/>
      <c r="P54" s="25" t="n"/>
    </row>
    <row r="55" ht="30" customHeight="1">
      <c r="A55" s="17" t="inlineStr">
        <is>
          <t>P51</t>
        </is>
      </c>
      <c r="B55" s="18" t="inlineStr">
        <is>
          <t>Stateful &amp; Async</t>
        </is>
      </c>
      <c r="C55" s="19" t="inlineStr">
        <is>
          <t>Redirect (301/302)</t>
        </is>
      </c>
      <c r="D55" s="19" t="inlineStr">
        <is>
          <t>A Location header pointing elsewhere</t>
        </is>
      </c>
      <c r="E55" s="20" t="inlineStr">
        <is>
          <t>GET</t>
        </is>
      </c>
      <c r="F55" s="20" t="inlineStr">
        <is>
          <t>Partial</t>
        </is>
      </c>
      <c r="G55" s="21" t="n">
        <v>46274</v>
      </c>
      <c r="H55" s="19" t="inlineStr">
        <is>
          <t>Playwright follows redirects automatically, so a case asserting status 301 will FAIL with the final 200. Assert the end state instead.</t>
        </is>
      </c>
      <c r="I55" s="20" t="inlineStr">
        <is>
          <t>Essential</t>
        </is>
      </c>
      <c r="J55" s="20" t="inlineStr">
        <is>
          <t>E33</t>
        </is>
      </c>
      <c r="K55" s="22" t="inlineStr">
        <is>
          <t>Not started</t>
        </is>
      </c>
      <c r="L55" s="22" t="n"/>
      <c r="M55" s="22" t="n"/>
      <c r="N55" s="23">
        <f>IFERROR(M55/L55,"")</f>
        <v/>
      </c>
      <c r="O55" s="24" t="n"/>
      <c r="P55" s="25" t="n"/>
    </row>
    <row r="56" ht="30" customHeight="1">
      <c r="A56" s="26" t="inlineStr">
        <is>
          <t>P52</t>
        </is>
      </c>
      <c r="B56" s="27" t="inlineStr">
        <is>
          <t>Stateful &amp; Async</t>
        </is>
      </c>
      <c r="C56" s="28" t="inlineStr">
        <is>
          <t>Conditional GET / ETag -&gt; 304</t>
        </is>
      </c>
      <c r="D56" s="28" t="inlineStr">
        <is>
          <t>If-None-Match carrying an ETag from a prior response</t>
        </is>
      </c>
      <c r="E56" s="8" t="inlineStr">
        <is>
          <t>GET</t>
        </is>
      </c>
      <c r="F56" s="8" t="inlineStr">
        <is>
          <t>Gap</t>
        </is>
      </c>
      <c r="G56" s="31" t="inlineStr">
        <is>
          <t>TBD</t>
        </is>
      </c>
      <c r="H56" s="28" t="inlineStr">
        <is>
          <t>The ETag must come from a previous call, which specs cannot share. Assert the ETag header is present, or paste a known ETag to test the 304.</t>
        </is>
      </c>
      <c r="I56" s="8" t="inlineStr"/>
      <c r="J56" s="8" t="inlineStr"/>
      <c r="K56" s="22" t="inlineStr">
        <is>
          <t>Not started</t>
        </is>
      </c>
      <c r="L56" s="22" t="n"/>
      <c r="M56" s="22" t="n"/>
      <c r="N56" s="30">
        <f>IFERROR(M56/L56,"")</f>
        <v/>
      </c>
      <c r="O56" s="24" t="n"/>
      <c r="P56" s="25" t="n"/>
    </row>
    <row r="57" ht="30" customHeight="1">
      <c r="A57" s="17" t="inlineStr">
        <is>
          <t>P53</t>
        </is>
      </c>
      <c r="B57" s="18" t="inlineStr">
        <is>
          <t>Stateful &amp; Async</t>
        </is>
      </c>
      <c r="C57" s="19" t="inlineStr">
        <is>
          <t>Idempotency key on retry</t>
        </is>
      </c>
      <c r="D57" s="19" t="inlineStr">
        <is>
          <t>An Idempotency-Key header, the same request twice</t>
        </is>
      </c>
      <c r="E57" s="20" t="inlineStr">
        <is>
          <t>POST</t>
        </is>
      </c>
      <c r="F57" s="20" t="inlineStr">
        <is>
          <t>Partial</t>
        </is>
      </c>
      <c r="G57" s="21" t="n">
        <v>46274</v>
      </c>
      <c r="H57" s="19" t="inlineStr">
        <is>
          <t>The [deep] idempotency row sends the documented request twice and asserts the same status. It does not generate or vary the key.</t>
        </is>
      </c>
      <c r="I57" s="20" t="inlineStr">
        <is>
          <t>Exhaustive</t>
        </is>
      </c>
      <c r="J57" s="20" t="inlineStr"/>
      <c r="K57" s="22" t="inlineStr">
        <is>
          <t>Not started</t>
        </is>
      </c>
      <c r="L57" s="22" t="n"/>
      <c r="M57" s="22" t="n"/>
      <c r="N57" s="23">
        <f>IFERROR(M57/L57,"")</f>
        <v/>
      </c>
      <c r="O57" s="24" t="n"/>
      <c r="P57" s="25" t="n"/>
    </row>
    <row r="58" ht="30" customHeight="1">
      <c r="A58" s="26" t="inlineStr">
        <is>
          <t>P54</t>
        </is>
      </c>
      <c r="B58" s="27" t="inlineStr">
        <is>
          <t>Stateful &amp; Async</t>
        </is>
      </c>
      <c r="C58" s="28" t="inlineStr">
        <is>
          <t>Rate limiting -&gt; 429</t>
        </is>
      </c>
      <c r="D58" s="28" t="inlineStr">
        <is>
          <t>429 plus Retry-After once a quota is hit</t>
        </is>
      </c>
      <c r="E58" s="8" t="inlineStr">
        <is>
          <t>Any</t>
        </is>
      </c>
      <c r="F58" s="8" t="inlineStr">
        <is>
          <t>Partial</t>
        </is>
      </c>
      <c r="G58" s="29" t="n">
        <v>46274</v>
      </c>
      <c r="H58" s="28" t="inlineStr">
        <is>
          <t>Assert the status with oneOf [200,429] and the Retry-After header. There is no automatic backoff and no quota-exhausting loop.</t>
        </is>
      </c>
      <c r="I58" s="8" t="inlineStr">
        <is>
          <t>Standard</t>
        </is>
      </c>
      <c r="J58" s="8" t="inlineStr">
        <is>
          <t>E34</t>
        </is>
      </c>
      <c r="K58" s="22" t="inlineStr">
        <is>
          <t>Not started</t>
        </is>
      </c>
      <c r="L58" s="22" t="n"/>
      <c r="M58" s="22" t="n"/>
      <c r="N58" s="30">
        <f>IFERROR(M58/L58,"")</f>
        <v/>
      </c>
      <c r="O58" s="24" t="n"/>
      <c r="P58" s="25" t="n"/>
    </row>
    <row r="59" ht="30" customHeight="1">
      <c r="A59" s="17" t="inlineStr">
        <is>
          <t>P55</t>
        </is>
      </c>
      <c r="B59" s="18" t="inlineStr">
        <is>
          <t>Stateful &amp; Async</t>
        </is>
      </c>
      <c r="C59" s="19" t="inlineStr">
        <is>
          <t>Webhook / callback receiver</t>
        </is>
      </c>
      <c r="D59" s="19" t="inlineStr">
        <is>
          <t>The API calls YOU back</t>
        </is>
      </c>
      <c r="E59" s="20" t="inlineStr">
        <is>
          <t>POST</t>
        </is>
      </c>
      <c r="F59" s="20" t="inlineStr">
        <is>
          <t>Gap</t>
        </is>
      </c>
      <c r="G59" s="31" t="inlineStr">
        <is>
          <t>TBD</t>
        </is>
      </c>
      <c r="H59" s="19" t="inlineStr">
        <is>
          <t>NOT supported: this requires an inbound listener the platform does not run.</t>
        </is>
      </c>
      <c r="I59" s="20" t="inlineStr"/>
      <c r="J59" s="20" t="inlineStr"/>
      <c r="K59" s="22" t="inlineStr">
        <is>
          <t>Not started</t>
        </is>
      </c>
      <c r="L59" s="22" t="n"/>
      <c r="M59" s="22" t="n"/>
      <c r="N59" s="23">
        <f>IFERROR(M59/L59,"")</f>
        <v/>
      </c>
      <c r="O59" s="24" t="n"/>
      <c r="P59" s="25" t="n"/>
    </row>
    <row r="60" ht="30" customHeight="1">
      <c r="A60" s="26" t="inlineStr">
        <is>
          <t>P56</t>
        </is>
      </c>
      <c r="B60" s="27" t="inlineStr">
        <is>
          <t>Stateful &amp; Async</t>
        </is>
      </c>
      <c r="C60" s="28" t="inlineStr">
        <is>
          <t>HATEOAS / hypermedia</t>
        </is>
      </c>
      <c r="D60" s="28" t="inlineStr">
        <is>
          <t>_links or href fields used for discovery</t>
        </is>
      </c>
      <c r="E60" s="8" t="inlineStr">
        <is>
          <t>GET</t>
        </is>
      </c>
      <c r="F60" s="8" t="inlineStr">
        <is>
          <t>Partial</t>
        </is>
      </c>
      <c r="G60" s="29" t="n">
        <v>46274</v>
      </c>
      <c r="H60" s="28" t="inlineStr">
        <is>
          <t>Assert _links.self.href exists and is a string. The generator cannot traverse a discovered link.</t>
        </is>
      </c>
      <c r="I60" s="8" t="inlineStr">
        <is>
          <t>Standard</t>
        </is>
      </c>
      <c r="J60" s="8" t="inlineStr"/>
      <c r="K60" s="22" t="inlineStr">
        <is>
          <t>Not started</t>
        </is>
      </c>
      <c r="L60" s="22" t="n"/>
      <c r="M60" s="22" t="n"/>
      <c r="N60" s="30">
        <f>IFERROR(M60/L60,"")</f>
        <v/>
      </c>
      <c r="O60" s="24" t="n"/>
      <c r="P60" s="25" t="n"/>
    </row>
    <row r="61" ht="30" customHeight="1">
      <c r="A61" s="17" t="inlineStr">
        <is>
          <t>P57</t>
        </is>
      </c>
      <c r="B61" s="18" t="inlineStr">
        <is>
          <t>Contract &amp; Data</t>
        </is>
      </c>
      <c r="C61" s="19" t="inlineStr">
        <is>
          <t>Documented error contract</t>
        </is>
      </c>
      <c r="D61" s="19" t="inlineStr">
        <is>
          <t>RFC 7807 problem+json: type / title / status / detail</t>
        </is>
      </c>
      <c r="E61" s="20" t="inlineStr">
        <is>
          <t>Any</t>
        </is>
      </c>
      <c r="F61" s="20" t="inlineStr">
        <is>
          <t>Native</t>
        </is>
      </c>
      <c r="G61" s="21" t="n">
        <v>46274</v>
      </c>
      <c r="H61" s="19" t="inlineStr">
        <is>
          <t>Paste the error shape into Expected Response so the generator asserts those fields on the negative cases too.</t>
        </is>
      </c>
      <c r="I61" s="20" t="inlineStr">
        <is>
          <t>Standard</t>
        </is>
      </c>
      <c r="J61" s="20" t="inlineStr">
        <is>
          <t>E35</t>
        </is>
      </c>
      <c r="K61" s="22" t="inlineStr">
        <is>
          <t>Not started</t>
        </is>
      </c>
      <c r="L61" s="22" t="n"/>
      <c r="M61" s="22" t="n"/>
      <c r="N61" s="23">
        <f>IFERROR(M61/L61,"")</f>
        <v/>
      </c>
      <c r="O61" s="24" t="n"/>
      <c r="P61" s="25" t="n"/>
    </row>
    <row r="62" ht="30" customHeight="1">
      <c r="A62" s="26" t="inlineStr">
        <is>
          <t>P58</t>
        </is>
      </c>
      <c r="B62" s="27" t="inlineStr">
        <is>
          <t>Contract &amp; Data</t>
        </is>
      </c>
      <c r="C62" s="28" t="inlineStr">
        <is>
          <t>Status-code contract</t>
        </is>
      </c>
      <c r="D62" s="28" t="inlineStr">
        <is>
          <t>200/201/204/400/401/403/404/405/409/422/500</t>
        </is>
      </c>
      <c r="E62" s="8" t="inlineStr">
        <is>
          <t>Any</t>
        </is>
      </c>
      <c r="F62" s="8" t="inlineStr">
        <is>
          <t>Native</t>
        </is>
      </c>
      <c r="G62" s="29" t="n">
        <v>46274</v>
      </c>
      <c r="H62" s="28" t="inlineStr">
        <is>
          <t>status supports equals, oneOf and lessThan. The [wide] wrong-method row covers 405.</t>
        </is>
      </c>
      <c r="I62" s="8" t="inlineStr">
        <is>
          <t>Standard</t>
        </is>
      </c>
      <c r="J62" s="8" t="inlineStr">
        <is>
          <t>E36</t>
        </is>
      </c>
      <c r="K62" s="22" t="inlineStr">
        <is>
          <t>Not started</t>
        </is>
      </c>
      <c r="L62" s="22" t="n"/>
      <c r="M62" s="22" t="n"/>
      <c r="N62" s="30">
        <f>IFERROR(M62/L62,"")</f>
        <v/>
      </c>
      <c r="O62" s="24" t="n"/>
      <c r="P62" s="25" t="n"/>
    </row>
    <row r="63" ht="30" customHeight="1">
      <c r="A63" s="17" t="inlineStr">
        <is>
          <t>P59</t>
        </is>
      </c>
      <c r="B63" s="18" t="inlineStr">
        <is>
          <t>Contract &amp; Data</t>
        </is>
      </c>
      <c r="C63" s="19" t="inlineStr">
        <is>
          <t>Schema: field existence &amp; type</t>
        </is>
      </c>
      <c r="D63" s="19" t="inlineStr">
        <is>
          <t>Every documented field is present and correctly typed</t>
        </is>
      </c>
      <c r="E63" s="20" t="inlineStr">
        <is>
          <t>Any</t>
        </is>
      </c>
      <c r="F63" s="20" t="inlineStr">
        <is>
          <t>Native</t>
        </is>
      </c>
      <c r="G63" s="21" t="n">
        <v>46274</v>
      </c>
      <c r="H63" s="19" t="inlineStr">
        <is>
          <t>A [core] row: jsonProperty with exists, plus jsonProperty with type (string|number|boolean|array|object).</t>
        </is>
      </c>
      <c r="I63" s="20" t="inlineStr">
        <is>
          <t>Standard</t>
        </is>
      </c>
      <c r="J63" s="20" t="inlineStr">
        <is>
          <t>E18</t>
        </is>
      </c>
      <c r="K63" s="22" t="inlineStr">
        <is>
          <t>Not started</t>
        </is>
      </c>
      <c r="L63" s="22" t="n"/>
      <c r="M63" s="22" t="n"/>
      <c r="N63" s="23">
        <f>IFERROR(M63/L63,"")</f>
        <v/>
      </c>
      <c r="O63" s="24" t="n"/>
      <c r="P63" s="25" t="n"/>
    </row>
    <row r="64" ht="30" customHeight="1">
      <c r="A64" s="26" t="inlineStr">
        <is>
          <t>P60</t>
        </is>
      </c>
      <c r="B64" s="27" t="inlineStr">
        <is>
          <t>Contract &amp; Data</t>
        </is>
      </c>
      <c r="C64" s="28" t="inlineStr">
        <is>
          <t>Schema: exact literal value</t>
        </is>
      </c>
      <c r="D64" s="28" t="inlineStr">
        <is>
          <t>A field must deep-equal a known value</t>
        </is>
      </c>
      <c r="E64" s="8" t="inlineStr">
        <is>
          <t>Any</t>
        </is>
      </c>
      <c r="F64" s="8" t="inlineStr">
        <is>
          <t>Native</t>
        </is>
      </c>
      <c r="G64" s="29" t="n">
        <v>46274</v>
      </c>
      <c r="H64" s="28" t="inlineStr">
        <is>
          <t>jsonProperty with value performs a deep equality check.</t>
        </is>
      </c>
      <c r="I64" s="8" t="inlineStr">
        <is>
          <t>Standard</t>
        </is>
      </c>
      <c r="J64" s="8" t="inlineStr"/>
      <c r="K64" s="22" t="inlineStr">
        <is>
          <t>Not started</t>
        </is>
      </c>
      <c r="L64" s="22" t="n"/>
      <c r="M64" s="22" t="n"/>
      <c r="N64" s="30">
        <f>IFERROR(M64/L64,"")</f>
        <v/>
      </c>
      <c r="O64" s="24" t="n"/>
      <c r="P64" s="25" t="n"/>
    </row>
    <row r="65" ht="30" customHeight="1">
      <c r="A65" s="17" t="inlineStr">
        <is>
          <t>P61</t>
        </is>
      </c>
      <c r="B65" s="18" t="inlineStr">
        <is>
          <t>Contract &amp; Data</t>
        </is>
      </c>
      <c r="C65" s="19" t="inlineStr">
        <is>
          <t>Null / optional fields</t>
        </is>
      </c>
      <c r="D65" s="19" t="inlineStr">
        <is>
          <t>A documented field may legitimately be null</t>
        </is>
      </c>
      <c r="E65" s="20" t="inlineStr">
        <is>
          <t>Any</t>
        </is>
      </c>
      <c r="F65" s="20" t="inlineStr">
        <is>
          <t>Partial</t>
        </is>
      </c>
      <c r="G65" s="21" t="n">
        <v>46274</v>
      </c>
      <c r="H65" s="19" t="inlineStr">
        <is>
          <t>Careful: an exists check on a null value still passes, because null is defined. Use a type check when you need to be strict.</t>
        </is>
      </c>
      <c r="I65" s="20" t="inlineStr">
        <is>
          <t>Standard</t>
        </is>
      </c>
      <c r="J65" s="20" t="inlineStr"/>
      <c r="K65" s="22" t="inlineStr">
        <is>
          <t>Not started</t>
        </is>
      </c>
      <c r="L65" s="22" t="n"/>
      <c r="M65" s="22" t="n"/>
      <c r="N65" s="23">
        <f>IFERROR(M65/L65,"")</f>
        <v/>
      </c>
      <c r="O65" s="24" t="n"/>
      <c r="P65" s="25" t="n"/>
    </row>
    <row r="66" ht="30" customHeight="1">
      <c r="A66" s="26" t="inlineStr">
        <is>
          <t>P62</t>
        </is>
      </c>
      <c r="B66" s="27" t="inlineStr">
        <is>
          <t>Contract &amp; Data</t>
        </is>
      </c>
      <c r="C66" s="28" t="inlineStr">
        <is>
          <t>Date / time &amp; timezone format</t>
        </is>
      </c>
      <c r="D66" s="28" t="inlineStr">
        <is>
          <t>ISO-8601 timestamps and offsets</t>
        </is>
      </c>
      <c r="E66" s="8" t="inlineStr">
        <is>
          <t>Any</t>
        </is>
      </c>
      <c r="F66" s="8" t="inlineStr">
        <is>
          <t>Partial</t>
        </is>
      </c>
      <c r="G66" s="29" t="n">
        <v>46274</v>
      </c>
      <c r="H66" s="28" t="inlineStr">
        <is>
          <t>Only 'is a string' can be asserted - there is no regex or date-format check kind. Use bodyContains for a fixed prefix.</t>
        </is>
      </c>
      <c r="I66" s="8" t="inlineStr">
        <is>
          <t>Standard</t>
        </is>
      </c>
      <c r="J66" s="8" t="inlineStr">
        <is>
          <t>E37</t>
        </is>
      </c>
      <c r="K66" s="22" t="inlineStr">
        <is>
          <t>Not started</t>
        </is>
      </c>
      <c r="L66" s="22" t="n"/>
      <c r="M66" s="22" t="n"/>
      <c r="N66" s="30">
        <f>IFERROR(M66/L66,"")</f>
        <v/>
      </c>
      <c r="O66" s="24" t="n"/>
      <c r="P66" s="25" t="n"/>
    </row>
    <row r="67" ht="30" customHeight="1">
      <c r="A67" s="17" t="inlineStr">
        <is>
          <t>P63</t>
        </is>
      </c>
      <c r="B67" s="18" t="inlineStr">
        <is>
          <t>Contract &amp; Data</t>
        </is>
      </c>
      <c r="C67" s="19" t="inlineStr">
        <is>
          <t>Numeric precision / money</t>
        </is>
      </c>
      <c r="D67" s="19" t="inlineStr">
        <is>
          <t>Decimal amounts, currency minor units</t>
        </is>
      </c>
      <c r="E67" s="20" t="inlineStr">
        <is>
          <t>Any</t>
        </is>
      </c>
      <c r="F67" s="20" t="inlineStr">
        <is>
          <t>Native</t>
        </is>
      </c>
      <c r="G67" s="21" t="n">
        <v>46274</v>
      </c>
      <c r="H67" s="19" t="inlineStr">
        <is>
          <t>jsonProperty with type number, plus an exact value check.</t>
        </is>
      </c>
      <c r="I67" s="20" t="inlineStr">
        <is>
          <t>Standard</t>
        </is>
      </c>
      <c r="J67" s="20" t="inlineStr"/>
      <c r="K67" s="22" t="inlineStr">
        <is>
          <t>Not started</t>
        </is>
      </c>
      <c r="L67" s="22" t="n"/>
      <c r="M67" s="22" t="n"/>
      <c r="N67" s="23">
        <f>IFERROR(M67/L67,"")</f>
        <v/>
      </c>
      <c r="O67" s="24" t="n"/>
      <c r="P67" s="25" t="n"/>
    </row>
    <row r="68" ht="30" customHeight="1">
      <c r="A68" s="26" t="inlineStr">
        <is>
          <t>P64</t>
        </is>
      </c>
      <c r="B68" s="27" t="inlineStr">
        <is>
          <t>Contract &amp; Data</t>
        </is>
      </c>
      <c r="C68" s="28" t="inlineStr">
        <is>
          <t>Unicode / i18n content</t>
        </is>
      </c>
      <c r="D68" s="28" t="inlineStr">
        <is>
          <t>Non-ASCII names, emoji, RTL text</t>
        </is>
      </c>
      <c r="E68" s="8" t="inlineStr">
        <is>
          <t>Any</t>
        </is>
      </c>
      <c r="F68" s="8" t="inlineStr">
        <is>
          <t>Native</t>
        </is>
      </c>
      <c r="G68" s="29" t="n">
        <v>46274</v>
      </c>
      <c r="H68" s="28" t="inlineStr">
        <is>
          <t>bodyContains matches the literal characters; make sure charset=utf-8 is on the response.</t>
        </is>
      </c>
      <c r="I68" s="8" t="inlineStr">
        <is>
          <t>Standard</t>
        </is>
      </c>
      <c r="J68" s="8" t="inlineStr">
        <is>
          <t>E38</t>
        </is>
      </c>
      <c r="K68" s="22" t="inlineStr">
        <is>
          <t>Not started</t>
        </is>
      </c>
      <c r="L68" s="22" t="n"/>
      <c r="M68" s="22" t="n"/>
      <c r="N68" s="30">
        <f>IFERROR(M68/L68,"")</f>
        <v/>
      </c>
      <c r="O68" s="24" t="n"/>
      <c r="P68" s="25" t="n"/>
    </row>
    <row r="69" ht="30" customHeight="1">
      <c r="A69" s="17" t="inlineStr">
        <is>
          <t>P65</t>
        </is>
      </c>
      <c r="B69" s="18" t="inlineStr">
        <is>
          <t>Contract &amp; Data</t>
        </is>
      </c>
      <c r="C69" s="19" t="inlineStr">
        <is>
          <t>Response-time SLA</t>
        </is>
      </c>
      <c r="D69" s="19" t="inlineStr">
        <is>
          <t>The call must complete under N milliseconds</t>
        </is>
      </c>
      <c r="E69" s="20" t="inlineStr">
        <is>
          <t>Any</t>
        </is>
      </c>
      <c r="F69" s="20" t="inlineStr">
        <is>
          <t>Native</t>
        </is>
      </c>
      <c r="G69" s="21" t="n">
        <v>46274</v>
      </c>
      <c r="H69" s="19" t="inlineStr">
        <is>
          <t>responseTimeUnderMs, measured around the request in the generated spec. A [wide] row on the happy path.</t>
        </is>
      </c>
      <c r="I69" s="20" t="inlineStr">
        <is>
          <t>Standard</t>
        </is>
      </c>
      <c r="J69" s="20" t="inlineStr"/>
      <c r="K69" s="22" t="inlineStr">
        <is>
          <t>Not started</t>
        </is>
      </c>
      <c r="L69" s="22" t="n"/>
      <c r="M69" s="22" t="n"/>
      <c r="N69" s="23">
        <f>IFERROR(M69/L69,"")</f>
        <v/>
      </c>
      <c r="O69" s="24" t="n"/>
      <c r="P69" s="25" t="n"/>
    </row>
    <row r="70" ht="30" customHeight="1">
      <c r="A70" s="26" t="inlineStr">
        <is>
          <t>P66</t>
        </is>
      </c>
      <c r="B70" s="27" t="inlineStr">
        <is>
          <t>Contract &amp; Data</t>
        </is>
      </c>
      <c r="C70" s="28" t="inlineStr">
        <is>
          <t>Response-header contract</t>
        </is>
      </c>
      <c r="D70" s="28" t="inlineStr">
        <is>
          <t>Content-Type, Cache-Control, X-Request-Id</t>
        </is>
      </c>
      <c r="E70" s="8" t="inlineStr">
        <is>
          <t>Any</t>
        </is>
      </c>
      <c r="F70" s="8" t="inlineStr">
        <is>
          <t>Native</t>
        </is>
      </c>
      <c r="G70" s="29" t="n">
        <v>46274</v>
      </c>
      <c r="H70" s="28" t="inlineStr">
        <is>
          <t>A header check, matched case-insensitively, with an optional contains substring.</t>
        </is>
      </c>
      <c r="I70" s="8" t="inlineStr">
        <is>
          <t>Standard</t>
        </is>
      </c>
      <c r="J70" s="8" t="inlineStr">
        <is>
          <t>E39</t>
        </is>
      </c>
      <c r="K70" s="22" t="inlineStr">
        <is>
          <t>Not started</t>
        </is>
      </c>
      <c r="L70" s="22" t="n"/>
      <c r="M70" s="22" t="n"/>
      <c r="N70" s="30">
        <f>IFERROR(M70/L70,"")</f>
        <v/>
      </c>
      <c r="O70" s="24" t="n"/>
      <c r="P70" s="25" t="n"/>
    </row>
    <row r="71" ht="30" customHeight="1">
      <c r="A71" s="17" t="inlineStr">
        <is>
          <t>P67</t>
        </is>
      </c>
      <c r="B71" s="18" t="inlineStr">
        <is>
          <t>Contract &amp; Data</t>
        </is>
      </c>
      <c r="C71" s="19" t="inlineStr">
        <is>
          <t>Content negotiation</t>
        </is>
      </c>
      <c r="D71" s="19" t="inlineStr">
        <is>
          <t>Accept: application/xml returns 406, or a JSON fallback</t>
        </is>
      </c>
      <c r="E71" s="20" t="inlineStr">
        <is>
          <t>GET</t>
        </is>
      </c>
      <c r="F71" s="20" t="inlineStr">
        <is>
          <t>Native</t>
        </is>
      </c>
      <c r="G71" s="21" t="n">
        <v>46274</v>
      </c>
      <c r="H71" s="19" t="inlineStr">
        <is>
          <t>A [deep] row - requires Exhaustive depth to be generated.</t>
        </is>
      </c>
      <c r="I71" s="20" t="inlineStr">
        <is>
          <t>Exhaustive</t>
        </is>
      </c>
      <c r="J71" s="20" t="inlineStr">
        <is>
          <t>E40</t>
        </is>
      </c>
      <c r="K71" s="22" t="inlineStr">
        <is>
          <t>Not started</t>
        </is>
      </c>
      <c r="L71" s="22" t="n"/>
      <c r="M71" s="22" t="n"/>
      <c r="N71" s="23">
        <f>IFERROR(M71/L71,"")</f>
        <v/>
      </c>
      <c r="O71" s="24" t="n"/>
      <c r="P71" s="25" t="n"/>
    </row>
    <row r="72" ht="30" customHeight="1">
      <c r="A72" s="26" t="inlineStr">
        <is>
          <t>P68</t>
        </is>
      </c>
      <c r="B72" s="27" t="inlineStr">
        <is>
          <t>Contract &amp; Data</t>
        </is>
      </c>
      <c r="C72" s="28" t="inlineStr">
        <is>
          <t>API versioning</t>
        </is>
      </c>
      <c r="D72" s="28" t="inlineStr">
        <is>
          <t>/v1 vs /v2, or Accept: application/vnd.x.v2+json</t>
        </is>
      </c>
      <c r="E72" s="8" t="inlineStr">
        <is>
          <t>Any</t>
        </is>
      </c>
      <c r="F72" s="8" t="inlineStr">
        <is>
          <t>Native</t>
        </is>
      </c>
      <c r="G72" s="29" t="n">
        <v>46274</v>
      </c>
      <c r="H72" s="28" t="inlineStr">
        <is>
          <t>Validate as two endpoint rows, or as one row carrying a versioning header. Nothing special is required.</t>
        </is>
      </c>
      <c r="I72" s="8" t="inlineStr">
        <is>
          <t>Standard</t>
        </is>
      </c>
      <c r="J72" s="8" t="inlineStr">
        <is>
          <t>E41</t>
        </is>
      </c>
      <c r="K72" s="22" t="inlineStr">
        <is>
          <t>Not started</t>
        </is>
      </c>
      <c r="L72" s="22" t="n"/>
      <c r="M72" s="22" t="n"/>
      <c r="N72" s="30">
        <f>IFERROR(M72/L72,"")</f>
        <v/>
      </c>
      <c r="O72" s="24" t="n"/>
      <c r="P72" s="25" t="n"/>
    </row>
  </sheetData>
  <autoFilter ref="A3:P72"/>
  <mergeCells count="2">
    <mergeCell ref="A1:P1"/>
    <mergeCell ref="A2:P2"/>
  </mergeCells>
  <conditionalFormatting sqref="F4:F72">
    <cfRule type="cellIs" priority="1" operator="equal" dxfId="0">
      <formula>"Native"</formula>
    </cfRule>
    <cfRule type="cellIs" priority="2" operator="equal" dxfId="1">
      <formula>"Partial"</formula>
    </cfRule>
    <cfRule type="cellIs" priority="3" operator="equal" dxfId="2">
      <formula>"Gap"</formula>
    </cfRule>
  </conditionalFormatting>
  <conditionalFormatting sqref="K4:K72">
    <cfRule type="cellIs" priority="4" operator="equal" dxfId="0">
      <formula>"Pass"</formula>
    </cfRule>
    <cfRule type="cellIs" priority="5" operator="equal" dxfId="1">
      <formula>"Partial"</formula>
    </cfRule>
    <cfRule type="cellIs" priority="6" operator="equal" dxfId="2">
      <formula>"Fail"</formula>
    </cfRule>
    <cfRule type="cellIs" priority="7" operator="equal" dxfId="2">
      <formula>"Blocked"</formula>
    </cfRule>
  </conditionalFormatting>
  <dataValidations count="1">
    <dataValidation sqref="K4:K72" showDropDown="0" showInputMessage="0" showErrorMessage="0" allowBlank="1" error="Pick one of the listed statuses." type="list">
      <formula1>"Not started,Pass,Partial,Fail,Blocked,N/A - known gap"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9" customWidth="1" min="3" max="3"/>
    <col width="60" customWidth="1" min="4" max="4"/>
    <col width="34" customWidth="1" min="5" max="5"/>
    <col width="10" customWidth="1" min="6" max="6"/>
    <col width="26" customWidth="1" min="7" max="7"/>
    <col width="62" customWidth="1" min="8" max="8"/>
    <col width="10" customWidth="1" min="9" max="9"/>
    <col width="56" customWidth="1" min="10" max="10"/>
    <col width="9" customWidth="1" min="11" max="11"/>
  </cols>
  <sheetData>
    <row r="1" ht="26" customHeight="1">
      <c r="A1" s="1" t="inlineStr">
        <is>
          <t>Endpoints (Import)  ·  one endpoint per row, ready for API Studio</t>
        </is>
      </c>
    </row>
    <row r="2" ht="18" customHeight="1">
      <c r="A2" s="2" t="inlineStr">
        <is>
          <t>Column names match what the IntelliQE spec importer looks for. Upload this workbook - or this sheet saved as .csv - via Import in API Studio.</t>
        </is>
      </c>
    </row>
    <row r="3" ht="30" customHeight="1">
      <c r="A3" s="7" t="inlineStr">
        <is>
          <t>Ref</t>
        </is>
      </c>
      <c r="B3" s="7" t="inlineStr">
        <is>
          <t>Title</t>
        </is>
      </c>
      <c r="C3" s="7" t="inlineStr">
        <is>
          <t>Method</t>
        </is>
      </c>
      <c r="D3" s="7" t="inlineStr">
        <is>
          <t>URL</t>
        </is>
      </c>
      <c r="E3" s="7" t="inlineStr">
        <is>
          <t>Headers</t>
        </is>
      </c>
      <c r="F3" s="7" t="inlineStr">
        <is>
          <t>Auth Type</t>
        </is>
      </c>
      <c r="G3" s="7" t="inlineStr">
        <is>
          <t>Auth Value</t>
        </is>
      </c>
      <c r="H3" s="7" t="inlineStr">
        <is>
          <t>Body</t>
        </is>
      </c>
      <c r="I3" s="7" t="inlineStr">
        <is>
          <t>Expected Status</t>
        </is>
      </c>
      <c r="J3" s="7" t="inlineStr">
        <is>
          <t>Expected Response</t>
        </is>
      </c>
      <c r="K3" s="7" t="inlineStr">
        <is>
          <t>Pattern</t>
        </is>
      </c>
    </row>
    <row r="4" ht="34" customHeight="1">
      <c r="A4" s="26" t="inlineStr">
        <is>
          <t>E01</t>
        </is>
      </c>
      <c r="B4" s="28" t="inlineStr">
        <is>
          <t>GET /posts - list all posts</t>
        </is>
      </c>
      <c r="C4" s="8" t="inlineStr">
        <is>
          <t>GET</t>
        </is>
      </c>
      <c r="D4" s="32" t="inlineStr">
        <is>
          <t>https://jsonplaceholder.typicode.com/posts</t>
        </is>
      </c>
      <c r="E4" s="28" t="inlineStr">
        <is>
          <t>Accept: application/json</t>
        </is>
      </c>
      <c r="F4" s="8" t="inlineStr">
        <is>
          <t>none</t>
        </is>
      </c>
      <c r="G4" s="27" t="inlineStr"/>
      <c r="H4" s="32" t="inlineStr"/>
      <c r="I4" s="8" t="n">
        <v>200</v>
      </c>
      <c r="J4" s="32" t="inlineStr">
        <is>
          <t>[{"userId":1,"id":1,"title":"...","body":"..."}]</t>
        </is>
      </c>
      <c r="K4" s="8" t="inlineStr">
        <is>
          <t>P01</t>
        </is>
      </c>
    </row>
    <row r="5" ht="34" customHeight="1">
      <c r="A5" s="17" t="inlineStr">
        <is>
          <t>E02</t>
        </is>
      </c>
      <c r="B5" s="19" t="inlineStr">
        <is>
          <t>GET /posts/1 - read one post</t>
        </is>
      </c>
      <c r="C5" s="20" t="inlineStr">
        <is>
          <t>GET</t>
        </is>
      </c>
      <c r="D5" s="33" t="inlineStr">
        <is>
          <t>https://jsonplaceholder.typicode.com/posts/1</t>
        </is>
      </c>
      <c r="E5" s="19" t="inlineStr">
        <is>
          <t>Accept: application/json</t>
        </is>
      </c>
      <c r="F5" s="20" t="inlineStr">
        <is>
          <t>none</t>
        </is>
      </c>
      <c r="G5" s="18" t="inlineStr"/>
      <c r="H5" s="33" t="inlineStr"/>
      <c r="I5" s="20" t="n">
        <v>200</v>
      </c>
      <c r="J5" s="33" t="inlineStr">
        <is>
          <t>{"userId":1,"id":1,"title":"...","body":"..."}</t>
        </is>
      </c>
      <c r="K5" s="20" t="inlineStr">
        <is>
          <t>P02</t>
        </is>
      </c>
    </row>
    <row r="6" ht="34" customHeight="1">
      <c r="A6" s="26" t="inlineStr">
        <is>
          <t>E03</t>
        </is>
      </c>
      <c r="B6" s="28" t="inlineStr">
        <is>
          <t>POST /posts - create a post</t>
        </is>
      </c>
      <c r="C6" s="8" t="inlineStr">
        <is>
          <t>POST</t>
        </is>
      </c>
      <c r="D6" s="32" t="inlineStr">
        <is>
          <t>https://jsonplaceholder.typicode.com/posts</t>
        </is>
      </c>
      <c r="E6" s="28" t="inlineStr">
        <is>
          <t>Content-Type: application/json</t>
        </is>
      </c>
      <c r="F6" s="8" t="inlineStr">
        <is>
          <t>none</t>
        </is>
      </c>
      <c r="G6" s="27" t="inlineStr"/>
      <c r="H6" s="32" t="inlineStr">
        <is>
          <t>{"title":"IntelliQE pattern check","body":"created by API Studio","userId":1}</t>
        </is>
      </c>
      <c r="I6" s="8" t="n">
        <v>201</v>
      </c>
      <c r="J6" s="32" t="inlineStr">
        <is>
          <t>{"id":101,"title":"IntelliQE pattern check","body":"created by API Studio","userId":1}</t>
        </is>
      </c>
      <c r="K6" s="8" t="inlineStr">
        <is>
          <t>P03</t>
        </is>
      </c>
    </row>
    <row r="7" ht="34" customHeight="1">
      <c r="A7" s="17" t="inlineStr">
        <is>
          <t>E04</t>
        </is>
      </c>
      <c r="B7" s="19" t="inlineStr">
        <is>
          <t>PUT /posts/1 - full replace</t>
        </is>
      </c>
      <c r="C7" s="20" t="inlineStr">
        <is>
          <t>PUT</t>
        </is>
      </c>
      <c r="D7" s="33" t="inlineStr">
        <is>
          <t>https://jsonplaceholder.typicode.com/posts/1</t>
        </is>
      </c>
      <c r="E7" s="19" t="inlineStr">
        <is>
          <t>Content-Type: application/json</t>
        </is>
      </c>
      <c r="F7" s="20" t="inlineStr">
        <is>
          <t>none</t>
        </is>
      </c>
      <c r="G7" s="18" t="inlineStr"/>
      <c r="H7" s="33" t="inlineStr">
        <is>
          <t>{"id":1,"title":"replaced","body":"replaced body","userId":1}</t>
        </is>
      </c>
      <c r="I7" s="20" t="n">
        <v>200</v>
      </c>
      <c r="J7" s="33" t="inlineStr">
        <is>
          <t>{"id":1,"title":"replaced","body":"replaced body","userId":1}</t>
        </is>
      </c>
      <c r="K7" s="20" t="inlineStr">
        <is>
          <t>P04</t>
        </is>
      </c>
    </row>
    <row r="8" ht="34" customHeight="1">
      <c r="A8" s="26" t="inlineStr">
        <is>
          <t>E05</t>
        </is>
      </c>
      <c r="B8" s="28" t="inlineStr">
        <is>
          <t>PATCH /posts/1 - partial update</t>
        </is>
      </c>
      <c r="C8" s="8" t="inlineStr">
        <is>
          <t>PATCH</t>
        </is>
      </c>
      <c r="D8" s="32" t="inlineStr">
        <is>
          <t>https://jsonplaceholder.typicode.com/posts/1</t>
        </is>
      </c>
      <c r="E8" s="28" t="inlineStr">
        <is>
          <t>Content-Type: application/json</t>
        </is>
      </c>
      <c r="F8" s="8" t="inlineStr">
        <is>
          <t>none</t>
        </is>
      </c>
      <c r="G8" s="27" t="inlineStr"/>
      <c r="H8" s="32" t="inlineStr">
        <is>
          <t>{"title":"patched title"}</t>
        </is>
      </c>
      <c r="I8" s="8" t="n">
        <v>200</v>
      </c>
      <c r="J8" s="32" t="inlineStr">
        <is>
          <t>{"id":1,"title":"patched title","userId":1}</t>
        </is>
      </c>
      <c r="K8" s="8" t="inlineStr">
        <is>
          <t>P05</t>
        </is>
      </c>
    </row>
    <row r="9" ht="34" customHeight="1">
      <c r="A9" s="17" t="inlineStr">
        <is>
          <t>E06</t>
        </is>
      </c>
      <c r="B9" s="19" t="inlineStr">
        <is>
          <t>DELETE /posts/1 - remove a post</t>
        </is>
      </c>
      <c r="C9" s="20" t="inlineStr">
        <is>
          <t>DELETE</t>
        </is>
      </c>
      <c r="D9" s="33" t="inlineStr">
        <is>
          <t>https://jsonplaceholder.typicode.com/posts/1</t>
        </is>
      </c>
      <c r="E9" s="19" t="inlineStr"/>
      <c r="F9" s="20" t="inlineStr">
        <is>
          <t>none</t>
        </is>
      </c>
      <c r="G9" s="18" t="inlineStr"/>
      <c r="H9" s="33" t="inlineStr"/>
      <c r="I9" s="20" t="n">
        <v>200</v>
      </c>
      <c r="J9" s="33" t="inlineStr">
        <is>
          <t>{}</t>
        </is>
      </c>
      <c r="K9" s="20" t="inlineStr">
        <is>
          <t>P06</t>
        </is>
      </c>
    </row>
    <row r="10" ht="34" customHeight="1">
      <c r="A10" s="26" t="inlineStr">
        <is>
          <t>E07</t>
        </is>
      </c>
      <c r="B10" s="28" t="inlineStr">
        <is>
          <t>GET /posts/1/comments - nested sub-resource</t>
        </is>
      </c>
      <c r="C10" s="8" t="inlineStr">
        <is>
          <t>GET</t>
        </is>
      </c>
      <c r="D10" s="32" t="inlineStr">
        <is>
          <t>https://jsonplaceholder.typicode.com/posts/1/comments</t>
        </is>
      </c>
      <c r="E10" s="28" t="inlineStr">
        <is>
          <t>Accept: application/json</t>
        </is>
      </c>
      <c r="F10" s="8" t="inlineStr">
        <is>
          <t>none</t>
        </is>
      </c>
      <c r="G10" s="27" t="inlineStr"/>
      <c r="H10" s="32" t="inlineStr"/>
      <c r="I10" s="8" t="n">
        <v>200</v>
      </c>
      <c r="J10" s="32" t="inlineStr">
        <is>
          <t>[{"postId":1,"id":1,"name":"...","email":"...","body":"..."}]</t>
        </is>
      </c>
      <c r="K10" s="8" t="inlineStr">
        <is>
          <t>P07</t>
        </is>
      </c>
    </row>
    <row r="11" ht="34" customHeight="1">
      <c r="A11" s="17" t="inlineStr">
        <is>
          <t>E08</t>
        </is>
      </c>
      <c r="B11" s="19" t="inlineStr">
        <is>
          <t>HEAD /get - headers only, no body</t>
        </is>
      </c>
      <c r="C11" s="20" t="inlineStr">
        <is>
          <t>HEAD</t>
        </is>
      </c>
      <c r="D11" s="33" t="inlineStr">
        <is>
          <t>https://httpbin.org/get</t>
        </is>
      </c>
      <c r="E11" s="19" t="inlineStr"/>
      <c r="F11" s="20" t="inlineStr">
        <is>
          <t>none</t>
        </is>
      </c>
      <c r="G11" s="18" t="inlineStr"/>
      <c r="H11" s="33" t="inlineStr"/>
      <c r="I11" s="20" t="n">
        <v>200</v>
      </c>
      <c r="J11" s="33" t="inlineStr"/>
      <c r="K11" s="20" t="inlineStr">
        <is>
          <t>P08</t>
        </is>
      </c>
    </row>
    <row r="12" ht="34" customHeight="1">
      <c r="A12" s="26" t="inlineStr">
        <is>
          <t>E09</t>
        </is>
      </c>
      <c r="B12" s="28" t="inlineStr">
        <is>
          <t>OPTIONS /get - CORS preflight</t>
        </is>
      </c>
      <c r="C12" s="8" t="inlineStr">
        <is>
          <t>OPTIONS</t>
        </is>
      </c>
      <c r="D12" s="32" t="inlineStr">
        <is>
          <t>https://httpbin.org/get</t>
        </is>
      </c>
      <c r="E12" s="28" t="inlineStr"/>
      <c r="F12" s="8" t="inlineStr">
        <is>
          <t>none</t>
        </is>
      </c>
      <c r="G12" s="27" t="inlineStr"/>
      <c r="H12" s="32" t="inlineStr"/>
      <c r="I12" s="8" t="n">
        <v>200</v>
      </c>
      <c r="J12" s="32" t="inlineStr"/>
      <c r="K12" s="8" t="inlineStr">
        <is>
          <t>P09</t>
        </is>
      </c>
    </row>
    <row r="13" ht="34" customHeight="1">
      <c r="A13" s="17" t="inlineStr">
        <is>
          <t>E10</t>
        </is>
      </c>
      <c r="B13" s="19" t="inlineStr">
        <is>
          <t>GET /comments?postId=1 - query filtering</t>
        </is>
      </c>
      <c r="C13" s="20" t="inlineStr">
        <is>
          <t>GET</t>
        </is>
      </c>
      <c r="D13" s="33" t="inlineStr">
        <is>
          <t>https://jsonplaceholder.typicode.com/comments?postId=1</t>
        </is>
      </c>
      <c r="E13" s="19" t="inlineStr">
        <is>
          <t>Accept: application/json</t>
        </is>
      </c>
      <c r="F13" s="20" t="inlineStr">
        <is>
          <t>none</t>
        </is>
      </c>
      <c r="G13" s="18" t="inlineStr"/>
      <c r="H13" s="33" t="inlineStr"/>
      <c r="I13" s="20" t="n">
        <v>200</v>
      </c>
      <c r="J13" s="33" t="inlineStr">
        <is>
          <t>[{"postId":1,"id":1,"email":"..."}]</t>
        </is>
      </c>
      <c r="K13" s="20" t="inlineStr">
        <is>
          <t>P11</t>
        </is>
      </c>
    </row>
    <row r="14" ht="34" customHeight="1">
      <c r="A14" s="26" t="inlineStr">
        <is>
          <t>E11</t>
        </is>
      </c>
      <c r="B14" s="28" t="inlineStr">
        <is>
          <t>GET /products?limit=10&amp;skip=20 - offset pagination</t>
        </is>
      </c>
      <c r="C14" s="8" t="inlineStr">
        <is>
          <t>GET</t>
        </is>
      </c>
      <c r="D14" s="32" t="inlineStr">
        <is>
          <t>https://dummyjson.com/products?limit=10&amp;skip=20</t>
        </is>
      </c>
      <c r="E14" s="28" t="inlineStr">
        <is>
          <t>Accept: application/json</t>
        </is>
      </c>
      <c r="F14" s="8" t="inlineStr">
        <is>
          <t>none</t>
        </is>
      </c>
      <c r="G14" s="27" t="inlineStr"/>
      <c r="H14" s="32" t="inlineStr"/>
      <c r="I14" s="8" t="n">
        <v>200</v>
      </c>
      <c r="J14" s="32" t="inlineStr">
        <is>
          <t>{"products":[{"id":21,"title":"..."}],"total":194,"skip":20,"limit":10}</t>
        </is>
      </c>
      <c r="K14" s="8" t="inlineStr">
        <is>
          <t>P12</t>
        </is>
      </c>
    </row>
    <row r="15" ht="34" customHeight="1">
      <c r="A15" s="17" t="inlineStr">
        <is>
          <t>E12</t>
        </is>
      </c>
      <c r="B15" s="19" t="inlineStr">
        <is>
          <t>GET /api/users?page=2 - page pagination</t>
        </is>
      </c>
      <c r="C15" s="20" t="inlineStr">
        <is>
          <t>GET</t>
        </is>
      </c>
      <c r="D15" s="33" t="inlineStr">
        <is>
          <t>https://reqres.in/api/users?page=2</t>
        </is>
      </c>
      <c r="E15" s="19" t="inlineStr">
        <is>
          <t>x-api-key: reqres-free-v1</t>
        </is>
      </c>
      <c r="F15" s="20" t="inlineStr">
        <is>
          <t>none</t>
        </is>
      </c>
      <c r="G15" s="18" t="inlineStr"/>
      <c r="H15" s="33" t="inlineStr"/>
      <c r="I15" s="20" t="n">
        <v>200</v>
      </c>
      <c r="J15" s="33" t="inlineStr">
        <is>
          <t>{"page":2,"per_page":6,"total":12,"data":[{"id":7,"email":"..."}]}</t>
        </is>
      </c>
      <c r="K15" s="20" t="inlineStr">
        <is>
          <t>P13</t>
        </is>
      </c>
    </row>
    <row r="16" ht="34" customHeight="1">
      <c r="A16" s="26" t="inlineStr">
        <is>
          <t>E13</t>
        </is>
      </c>
      <c r="B16" s="28" t="inlineStr">
        <is>
          <t>GET GitHub issues - Link-header pagination</t>
        </is>
      </c>
      <c r="C16" s="8" t="inlineStr">
        <is>
          <t>GET</t>
        </is>
      </c>
      <c r="D16" s="32" t="inlineStr">
        <is>
          <t>https://api.github.com/repos/microsoft/playwright/issues?per_page=5</t>
        </is>
      </c>
      <c r="E16" s="28" t="inlineStr">
        <is>
          <t>Accept: application/vnd.github+json</t>
        </is>
      </c>
      <c r="F16" s="8" t="inlineStr">
        <is>
          <t>none</t>
        </is>
      </c>
      <c r="G16" s="27" t="inlineStr"/>
      <c r="H16" s="32" t="inlineStr"/>
      <c r="I16" s="8" t="n">
        <v>200</v>
      </c>
      <c r="J16" s="32" t="inlineStr">
        <is>
          <t>[{"id":1,"number":1,"title":"...","state":"open"}]</t>
        </is>
      </c>
      <c r="K16" s="8" t="inlineStr">
        <is>
          <t>P15</t>
        </is>
      </c>
    </row>
    <row r="17" ht="34" customHeight="1">
      <c r="A17" s="17" t="inlineStr">
        <is>
          <t>E14</t>
        </is>
      </c>
      <c r="B17" s="19" t="inlineStr">
        <is>
          <t>GET /posts sorted desc, limit 5</t>
        </is>
      </c>
      <c r="C17" s="20" t="inlineStr">
        <is>
          <t>GET</t>
        </is>
      </c>
      <c r="D17" s="33" t="inlineStr">
        <is>
          <t>https://jsonplaceholder.typicode.com/posts?_sort=id&amp;_order=desc&amp;_limit=5</t>
        </is>
      </c>
      <c r="E17" s="19" t="inlineStr">
        <is>
          <t>Accept: application/json</t>
        </is>
      </c>
      <c r="F17" s="20" t="inlineStr">
        <is>
          <t>none</t>
        </is>
      </c>
      <c r="G17" s="18" t="inlineStr"/>
      <c r="H17" s="33" t="inlineStr"/>
      <c r="I17" s="20" t="n">
        <v>200</v>
      </c>
      <c r="J17" s="33" t="inlineStr">
        <is>
          <t>[{"id":100,"title":"..."}]</t>
        </is>
      </c>
      <c r="K17" s="20" t="inlineStr">
        <is>
          <t>P16</t>
        </is>
      </c>
    </row>
    <row r="18" ht="34" customHeight="1">
      <c r="A18" s="26" t="inlineStr">
        <is>
          <t>E15</t>
        </is>
      </c>
      <c r="B18" s="28" t="inlineStr">
        <is>
          <t>GET /products/search?q=phone - full-text search</t>
        </is>
      </c>
      <c r="C18" s="8" t="inlineStr">
        <is>
          <t>GET</t>
        </is>
      </c>
      <c r="D18" s="32" t="inlineStr">
        <is>
          <t>https://dummyjson.com/products/search?q=phone</t>
        </is>
      </c>
      <c r="E18" s="28" t="inlineStr">
        <is>
          <t>Accept: application/json</t>
        </is>
      </c>
      <c r="F18" s="8" t="inlineStr">
        <is>
          <t>none</t>
        </is>
      </c>
      <c r="G18" s="27" t="inlineStr"/>
      <c r="H18" s="32" t="inlineStr"/>
      <c r="I18" s="8" t="n">
        <v>200</v>
      </c>
      <c r="J18" s="32" t="inlineStr">
        <is>
          <t>{"products":[{"id":1,"title":"..."}],"total":1,"skip":0,"limit":1}</t>
        </is>
      </c>
      <c r="K18" s="8" t="inlineStr">
        <is>
          <t>P17</t>
        </is>
      </c>
    </row>
    <row r="19" ht="34" customHeight="1">
      <c r="A19" s="17" t="inlineStr">
        <is>
          <t>E16</t>
        </is>
      </c>
      <c r="B19" s="19" t="inlineStr">
        <is>
          <t>GET /comments?postId=99999999 - empty result set</t>
        </is>
      </c>
      <c r="C19" s="20" t="inlineStr">
        <is>
          <t>GET</t>
        </is>
      </c>
      <c r="D19" s="33" t="inlineStr">
        <is>
          <t>https://jsonplaceholder.typicode.com/comments?postId=99999999</t>
        </is>
      </c>
      <c r="E19" s="19" t="inlineStr">
        <is>
          <t>Accept: application/json</t>
        </is>
      </c>
      <c r="F19" s="20" t="inlineStr">
        <is>
          <t>none</t>
        </is>
      </c>
      <c r="G19" s="18" t="inlineStr"/>
      <c r="H19" s="33" t="inlineStr"/>
      <c r="I19" s="20" t="n">
        <v>200</v>
      </c>
      <c r="J19" s="33" t="inlineStr">
        <is>
          <t>[]</t>
        </is>
      </c>
      <c r="K19" s="20" t="inlineStr">
        <is>
          <t>P18</t>
        </is>
      </c>
    </row>
    <row r="20" ht="34" customHeight="1">
      <c r="A20" s="26" t="inlineStr">
        <is>
          <t>E17</t>
        </is>
      </c>
      <c r="B20" s="28" t="inlineStr">
        <is>
          <t>POST /objects - create with a nested body</t>
        </is>
      </c>
      <c r="C20" s="8" t="inlineStr">
        <is>
          <t>POST</t>
        </is>
      </c>
      <c r="D20" s="32" t="inlineStr">
        <is>
          <t>https://api.restful-api.dev/objects</t>
        </is>
      </c>
      <c r="E20" s="28" t="inlineStr">
        <is>
          <t>Content-Type: application/json</t>
        </is>
      </c>
      <c r="F20" s="8" t="inlineStr">
        <is>
          <t>none</t>
        </is>
      </c>
      <c r="G20" s="27" t="inlineStr"/>
      <c r="H20" s="32" t="inlineStr">
        <is>
          <t>{"name":"IntelliQE Probe","data":{"year":2026,"price":1499.99,"CPU model":"M4","Hard disk size":"1 TB"}}</t>
        </is>
      </c>
      <c r="I20" s="8" t="n">
        <v>200</v>
      </c>
      <c r="J20" s="32" t="inlineStr">
        <is>
          <t>{"id":"ff8081","name":"IntelliQE Probe","createdAt":"2026-01-01T00:00:00.000+00:00","data":{"year":2026,"price":1499.99}}</t>
        </is>
      </c>
      <c r="K20" s="8" t="inlineStr">
        <is>
          <t>P19</t>
        </is>
      </c>
    </row>
    <row r="21" ht="34" customHeight="1">
      <c r="A21" s="17" t="inlineStr">
        <is>
          <t>E18</t>
        </is>
      </c>
      <c r="B21" s="19" t="inlineStr">
        <is>
          <t>GET /objects - bare array root</t>
        </is>
      </c>
      <c r="C21" s="20" t="inlineStr">
        <is>
          <t>GET</t>
        </is>
      </c>
      <c r="D21" s="33" t="inlineStr">
        <is>
          <t>https://api.restful-api.dev/objects</t>
        </is>
      </c>
      <c r="E21" s="19" t="inlineStr">
        <is>
          <t>Accept: application/json</t>
        </is>
      </c>
      <c r="F21" s="20" t="inlineStr">
        <is>
          <t>none</t>
        </is>
      </c>
      <c r="G21" s="18" t="inlineStr"/>
      <c r="H21" s="33" t="inlineStr"/>
      <c r="I21" s="20" t="n">
        <v>200</v>
      </c>
      <c r="J21" s="33" t="inlineStr">
        <is>
          <t>[{"id":"1","name":"Google Pixel 6 Pro","data":{"color":"Cloudy White","capacity":"128 GB"}}]</t>
        </is>
      </c>
      <c r="K21" s="20" t="inlineStr">
        <is>
          <t>P22</t>
        </is>
      </c>
    </row>
    <row r="22" ht="34" customHeight="1">
      <c r="A22" s="26" t="inlineStr">
        <is>
          <t>E19</t>
        </is>
      </c>
      <c r="B22" s="28" t="inlineStr">
        <is>
          <t>GET /products?limit=5 - envelope response</t>
        </is>
      </c>
      <c r="C22" s="8" t="inlineStr">
        <is>
          <t>GET</t>
        </is>
      </c>
      <c r="D22" s="32" t="inlineStr">
        <is>
          <t>https://dummyjson.com/products?limit=5</t>
        </is>
      </c>
      <c r="E22" s="28" t="inlineStr">
        <is>
          <t>Accept: application/json</t>
        </is>
      </c>
      <c r="F22" s="8" t="inlineStr">
        <is>
          <t>none</t>
        </is>
      </c>
      <c r="G22" s="27" t="inlineStr"/>
      <c r="H22" s="32" t="inlineStr"/>
      <c r="I22" s="8" t="n">
        <v>200</v>
      </c>
      <c r="J22" s="32" t="inlineStr">
        <is>
          <t>{"products":[{"id":1,"title":"..."}],"total":194,"skip":0,"limit":5}</t>
        </is>
      </c>
      <c r="K22" s="8" t="inlineStr">
        <is>
          <t>P23</t>
        </is>
      </c>
    </row>
    <row r="23" ht="34" customHeight="1">
      <c r="A23" s="17" t="inlineStr">
        <is>
          <t>E20</t>
        </is>
      </c>
      <c r="B23" s="19" t="inlineStr">
        <is>
          <t>GET /carts/1 - deeply nested JSON</t>
        </is>
      </c>
      <c r="C23" s="20" t="inlineStr">
        <is>
          <t>GET</t>
        </is>
      </c>
      <c r="D23" s="33" t="inlineStr">
        <is>
          <t>https://dummyjson.com/carts/1</t>
        </is>
      </c>
      <c r="E23" s="19" t="inlineStr">
        <is>
          <t>Accept: application/json</t>
        </is>
      </c>
      <c r="F23" s="20" t="inlineStr">
        <is>
          <t>none</t>
        </is>
      </c>
      <c r="G23" s="18" t="inlineStr"/>
      <c r="H23" s="33" t="inlineStr"/>
      <c r="I23" s="20" t="n">
        <v>200</v>
      </c>
      <c r="J23" s="33" t="inlineStr">
        <is>
          <t>{"id":1,"products":[{"id":168,"title":"...","price":10,"quantity":3}],"total":103774,"userId":33}</t>
        </is>
      </c>
      <c r="K23" s="20" t="inlineStr">
        <is>
          <t>P24</t>
        </is>
      </c>
    </row>
    <row r="24" ht="34" customHeight="1">
      <c r="A24" s="26" t="inlineStr">
        <is>
          <t>E21</t>
        </is>
      </c>
      <c r="B24" s="28" t="inlineStr">
        <is>
          <t>POST NumberConversion - SOAP / XML</t>
        </is>
      </c>
      <c r="C24" s="8" t="inlineStr">
        <is>
          <t>POST</t>
        </is>
      </c>
      <c r="D24" s="32" t="inlineStr">
        <is>
          <t>https://www.dataaccess.net/webservicesserver/NumberConversion.wso</t>
        </is>
      </c>
      <c r="E24" s="28" t="inlineStr">
        <is>
          <t>Content-Type: text/xml; charset=utf-8</t>
        </is>
      </c>
      <c r="F24" s="8" t="inlineStr">
        <is>
          <t>none</t>
        </is>
      </c>
      <c r="G24" s="27" t="inlineStr"/>
      <c r="H24" s="32" t="inlineStr">
        <is>
          <t>&lt;?xml version="1.0" encoding="utf-8"?&gt;&lt;soap:Envelope xmlns:soap="http://schemas.xmlsoap.org/soap/envelope/"&gt;&lt;soap:Body&gt;&lt;NumberToWords xmlns="http://www.dataaccess.com/webservicesserver/"&gt;&lt;ubiNum&gt;500&lt;/ubiNum&gt;&lt;/NumberToWords&gt;&lt;/soap:Body&gt;&lt;/soap:Envelope&gt;</t>
        </is>
      </c>
      <c r="I24" s="8" t="n">
        <v>200</v>
      </c>
      <c r="J24" s="32" t="inlineStr">
        <is>
          <t>&lt;NumberToWordsResult&gt;five hundred &lt;/NumberToWordsResult&gt;</t>
        </is>
      </c>
      <c r="K24" s="8" t="inlineStr">
        <is>
          <t>P25</t>
        </is>
      </c>
    </row>
    <row r="25" ht="34" customHeight="1">
      <c r="A25" s="17" t="inlineStr">
        <is>
          <t>E22</t>
        </is>
      </c>
      <c r="B25" s="19" t="inlineStr">
        <is>
          <t>GET /html - HTML response body</t>
        </is>
      </c>
      <c r="C25" s="20" t="inlineStr">
        <is>
          <t>GET</t>
        </is>
      </c>
      <c r="D25" s="33" t="inlineStr">
        <is>
          <t>https://httpbin.org/html</t>
        </is>
      </c>
      <c r="E25" s="19" t="inlineStr">
        <is>
          <t>Accept: text/html</t>
        </is>
      </c>
      <c r="F25" s="20" t="inlineStr">
        <is>
          <t>none</t>
        </is>
      </c>
      <c r="G25" s="18" t="inlineStr"/>
      <c r="H25" s="33" t="inlineStr"/>
      <c r="I25" s="20" t="n">
        <v>200</v>
      </c>
      <c r="J25" s="33" t="inlineStr">
        <is>
          <t>&lt;h1&gt;Herman Melville - Moby-Dick&lt;/h1&gt;</t>
        </is>
      </c>
      <c r="K25" s="20" t="inlineStr">
        <is>
          <t>P26</t>
        </is>
      </c>
    </row>
    <row r="26" ht="34" customHeight="1">
      <c r="A26" s="26" t="inlineStr">
        <is>
          <t>E23</t>
        </is>
      </c>
      <c r="B26" s="28" t="inlineStr">
        <is>
          <t>POST /post - form-urlencoded body</t>
        </is>
      </c>
      <c r="C26" s="8" t="inlineStr">
        <is>
          <t>POST</t>
        </is>
      </c>
      <c r="D26" s="32" t="inlineStr">
        <is>
          <t>https://httpbin.org/post</t>
        </is>
      </c>
      <c r="E26" s="28" t="inlineStr">
        <is>
          <t>Content-Type: application/x-www-form-urlencoded</t>
        </is>
      </c>
      <c r="F26" s="8" t="inlineStr">
        <is>
          <t>none</t>
        </is>
      </c>
      <c r="G26" s="27" t="inlineStr"/>
      <c r="H26" s="32" t="inlineStr">
        <is>
          <t>product=intelliqe&amp;mode=api</t>
        </is>
      </c>
      <c r="I26" s="8" t="n">
        <v>200</v>
      </c>
      <c r="J26" s="32" t="inlineStr">
        <is>
          <t>{"form":{"product":"intelliqe","mode":"api"}}</t>
        </is>
      </c>
      <c r="K26" s="8" t="inlineStr">
        <is>
          <t>P27</t>
        </is>
      </c>
    </row>
    <row r="27" ht="34" customHeight="1">
      <c r="A27" s="17" t="inlineStr">
        <is>
          <t>E24</t>
        </is>
      </c>
      <c r="B27" s="19" t="inlineStr">
        <is>
          <t>GET /image/png - binary download</t>
        </is>
      </c>
      <c r="C27" s="20" t="inlineStr">
        <is>
          <t>GET</t>
        </is>
      </c>
      <c r="D27" s="33" t="inlineStr">
        <is>
          <t>https://httpbin.org/image/png</t>
        </is>
      </c>
      <c r="E27" s="19" t="inlineStr">
        <is>
          <t>Accept: image/png</t>
        </is>
      </c>
      <c r="F27" s="20" t="inlineStr">
        <is>
          <t>none</t>
        </is>
      </c>
      <c r="G27" s="18" t="inlineStr"/>
      <c r="H27" s="33" t="inlineStr"/>
      <c r="I27" s="20" t="n">
        <v>200</v>
      </c>
      <c r="J27" s="33" t="inlineStr"/>
      <c r="K27" s="20" t="inlineStr">
        <is>
          <t>P29</t>
        </is>
      </c>
    </row>
    <row r="28" ht="34" customHeight="1">
      <c r="A28" s="26" t="inlineStr">
        <is>
          <t>E25</t>
        </is>
      </c>
      <c r="B28" s="28" t="inlineStr">
        <is>
          <t>GET /gzip - compressed response</t>
        </is>
      </c>
      <c r="C28" s="8" t="inlineStr">
        <is>
          <t>GET</t>
        </is>
      </c>
      <c r="D28" s="32" t="inlineStr">
        <is>
          <t>https://httpbin.org/gzip</t>
        </is>
      </c>
      <c r="E28" s="28" t="inlineStr">
        <is>
          <t>Accept-Encoding: gzip</t>
        </is>
      </c>
      <c r="F28" s="8" t="inlineStr">
        <is>
          <t>none</t>
        </is>
      </c>
      <c r="G28" s="27" t="inlineStr"/>
      <c r="H28" s="32" t="inlineStr"/>
      <c r="I28" s="8" t="n">
        <v>200</v>
      </c>
      <c r="J28" s="32" t="inlineStr">
        <is>
          <t>{"gzipped":true,"method":"GET"}</t>
        </is>
      </c>
      <c r="K28" s="8" t="inlineStr">
        <is>
          <t>P30</t>
        </is>
      </c>
    </row>
    <row r="29" ht="34" customHeight="1">
      <c r="A29" s="17" t="inlineStr">
        <is>
          <t>E26</t>
        </is>
      </c>
      <c r="B29" s="19" t="inlineStr">
        <is>
          <t>POST countries - GraphQL query</t>
        </is>
      </c>
      <c r="C29" s="20" t="inlineStr">
        <is>
          <t>POST</t>
        </is>
      </c>
      <c r="D29" s="33" t="inlineStr">
        <is>
          <t>https://countries.trevorblades.com/</t>
        </is>
      </c>
      <c r="E29" s="19" t="inlineStr">
        <is>
          <t>Content-Type: application/json</t>
        </is>
      </c>
      <c r="F29" s="20" t="inlineStr">
        <is>
          <t>none</t>
        </is>
      </c>
      <c r="G29" s="18" t="inlineStr"/>
      <c r="H29" s="33" t="inlineStr">
        <is>
          <t>{"query":"{ country(code: \"IN\") { name capital currency } }"}</t>
        </is>
      </c>
      <c r="I29" s="20" t="n">
        <v>200</v>
      </c>
      <c r="J29" s="33" t="inlineStr">
        <is>
          <t>{"data":{"country":{"name":"India","capital":"New Delhi","currency":"INR"}}}</t>
        </is>
      </c>
      <c r="K29" s="20" t="inlineStr">
        <is>
          <t>P31</t>
        </is>
      </c>
    </row>
    <row r="30" ht="34" customHeight="1">
      <c r="A30" s="26" t="inlineStr">
        <is>
          <t>E27</t>
        </is>
      </c>
      <c r="B30" s="28" t="inlineStr">
        <is>
          <t>GET /uuid - public, no auth</t>
        </is>
      </c>
      <c r="C30" s="8" t="inlineStr">
        <is>
          <t>GET</t>
        </is>
      </c>
      <c r="D30" s="32" t="inlineStr">
        <is>
          <t>https://httpbin.org/uuid</t>
        </is>
      </c>
      <c r="E30" s="28" t="inlineStr">
        <is>
          <t>Accept: application/json</t>
        </is>
      </c>
      <c r="F30" s="8" t="inlineStr">
        <is>
          <t>none</t>
        </is>
      </c>
      <c r="G30" s="27" t="inlineStr"/>
      <c r="H30" s="32" t="inlineStr"/>
      <c r="I30" s="8" t="n">
        <v>200</v>
      </c>
      <c r="J30" s="32" t="inlineStr">
        <is>
          <t>{"uuid":"a1b2c3d4-0000-0000-0000-000000000000"}</t>
        </is>
      </c>
      <c r="K30" s="8" t="inlineStr">
        <is>
          <t>P34</t>
        </is>
      </c>
    </row>
    <row r="31" ht="34" customHeight="1">
      <c r="A31" s="17" t="inlineStr">
        <is>
          <t>E28</t>
        </is>
      </c>
      <c r="B31" s="19" t="inlineStr">
        <is>
          <t>GET /bearer - bearer token accepted</t>
        </is>
      </c>
      <c r="C31" s="20" t="inlineStr">
        <is>
          <t>GET</t>
        </is>
      </c>
      <c r="D31" s="33" t="inlineStr">
        <is>
          <t>https://httpbin.org/bearer</t>
        </is>
      </c>
      <c r="E31" s="19" t="inlineStr">
        <is>
          <t>Accept: application/json</t>
        </is>
      </c>
      <c r="F31" s="20" t="inlineStr">
        <is>
          <t>bearer</t>
        </is>
      </c>
      <c r="G31" s="18" t="inlineStr">
        <is>
          <t>intelliqe-pattern-probe-token</t>
        </is>
      </c>
      <c r="H31" s="33" t="inlineStr"/>
      <c r="I31" s="20" t="n">
        <v>200</v>
      </c>
      <c r="J31" s="33" t="inlineStr">
        <is>
          <t>{"authenticated":true,"token":"intelliqe-pattern-probe-token"}</t>
        </is>
      </c>
      <c r="K31" s="20" t="inlineStr">
        <is>
          <t>P35</t>
        </is>
      </c>
    </row>
    <row r="32" ht="34" customHeight="1">
      <c r="A32" s="26" t="inlineStr">
        <is>
          <t>E29</t>
        </is>
      </c>
      <c r="B32" s="28" t="inlineStr">
        <is>
          <t>GET /basic-auth - basic credentials</t>
        </is>
      </c>
      <c r="C32" s="8" t="inlineStr">
        <is>
          <t>GET</t>
        </is>
      </c>
      <c r="D32" s="32" t="inlineStr">
        <is>
          <t>https://httpbin.org/basic-auth/intelliqe/secret123</t>
        </is>
      </c>
      <c r="E32" s="28" t="inlineStr">
        <is>
          <t>Accept: application/json</t>
        </is>
      </c>
      <c r="F32" s="8" t="inlineStr">
        <is>
          <t>basic</t>
        </is>
      </c>
      <c r="G32" s="27" t="inlineStr">
        <is>
          <t>intelliqe:secret123</t>
        </is>
      </c>
      <c r="H32" s="32" t="inlineStr"/>
      <c r="I32" s="8" t="n">
        <v>200</v>
      </c>
      <c r="J32" s="32" t="inlineStr">
        <is>
          <t>{"authenticated":true,"user":"intelliqe"}</t>
        </is>
      </c>
      <c r="K32" s="8" t="inlineStr">
        <is>
          <t>P36</t>
        </is>
      </c>
    </row>
    <row r="33" ht="34" customHeight="1">
      <c r="A33" s="17" t="inlineStr">
        <is>
          <t>E30</t>
        </is>
      </c>
      <c r="B33" s="19" t="inlineStr">
        <is>
          <t>GET /api/users/2 - API key header</t>
        </is>
      </c>
      <c r="C33" s="20" t="inlineStr">
        <is>
          <t>GET</t>
        </is>
      </c>
      <c r="D33" s="33" t="inlineStr">
        <is>
          <t>https://reqres.in/api/users/2</t>
        </is>
      </c>
      <c r="E33" s="19" t="inlineStr"/>
      <c r="F33" s="20" t="inlineStr">
        <is>
          <t>apikey</t>
        </is>
      </c>
      <c r="G33" s="18" t="inlineStr">
        <is>
          <t>reqres-free-v1</t>
        </is>
      </c>
      <c r="H33" s="33" t="inlineStr"/>
      <c r="I33" s="20" t="n">
        <v>200</v>
      </c>
      <c r="J33" s="33" t="inlineStr">
        <is>
          <t>{"data":{"id":2,"email":"...","first_name":"..."}}</t>
        </is>
      </c>
      <c r="K33" s="20" t="inlineStr">
        <is>
          <t>P37</t>
        </is>
      </c>
    </row>
    <row r="34" ht="34" customHeight="1">
      <c r="A34" s="26" t="inlineStr">
        <is>
          <t>E31</t>
        </is>
      </c>
      <c r="B34" s="28" t="inlineStr">
        <is>
          <t>GET /bearer with NO credential - expect 401</t>
        </is>
      </c>
      <c r="C34" s="8" t="inlineStr">
        <is>
          <t>GET</t>
        </is>
      </c>
      <c r="D34" s="32" t="inlineStr">
        <is>
          <t>https://httpbin.org/bearer</t>
        </is>
      </c>
      <c r="E34" s="28" t="inlineStr">
        <is>
          <t>Accept: application/json</t>
        </is>
      </c>
      <c r="F34" s="8" t="inlineStr">
        <is>
          <t>none</t>
        </is>
      </c>
      <c r="G34" s="27" t="inlineStr"/>
      <c r="H34" s="32" t="inlineStr"/>
      <c r="I34" s="8" t="n">
        <v>401</v>
      </c>
      <c r="J34" s="32" t="inlineStr"/>
      <c r="K34" s="8" t="inlineStr">
        <is>
          <t>P45</t>
        </is>
      </c>
    </row>
    <row r="35" ht="34" customHeight="1">
      <c r="A35" s="17" t="inlineStr">
        <is>
          <t>E32</t>
        </is>
      </c>
      <c r="B35" s="19" t="inlineStr">
        <is>
          <t>GET /delay/3 - slow response</t>
        </is>
      </c>
      <c r="C35" s="20" t="inlineStr">
        <is>
          <t>GET</t>
        </is>
      </c>
      <c r="D35" s="33" t="inlineStr">
        <is>
          <t>https://httpbin.org/delay/3</t>
        </is>
      </c>
      <c r="E35" s="19" t="inlineStr">
        <is>
          <t>Accept: application/json</t>
        </is>
      </c>
      <c r="F35" s="20" t="inlineStr">
        <is>
          <t>none</t>
        </is>
      </c>
      <c r="G35" s="18" t="inlineStr"/>
      <c r="H35" s="33" t="inlineStr"/>
      <c r="I35" s="20" t="n">
        <v>200</v>
      </c>
      <c r="J35" s="33" t="inlineStr">
        <is>
          <t>{"url":"https://httpbin.org/delay/3"}</t>
        </is>
      </c>
      <c r="K35" s="20" t="inlineStr">
        <is>
          <t>P50</t>
        </is>
      </c>
    </row>
    <row r="36" ht="34" customHeight="1">
      <c r="A36" s="26" t="inlineStr">
        <is>
          <t>E33</t>
        </is>
      </c>
      <c r="B36" s="28" t="inlineStr">
        <is>
          <t>GET /redirect/1 - redirect is auto-followed</t>
        </is>
      </c>
      <c r="C36" s="8" t="inlineStr">
        <is>
          <t>GET</t>
        </is>
      </c>
      <c r="D36" s="32" t="inlineStr">
        <is>
          <t>https://httpbin.org/redirect/1</t>
        </is>
      </c>
      <c r="E36" s="28" t="inlineStr">
        <is>
          <t>Accept: application/json</t>
        </is>
      </c>
      <c r="F36" s="8" t="inlineStr">
        <is>
          <t>none</t>
        </is>
      </c>
      <c r="G36" s="27" t="inlineStr"/>
      <c r="H36" s="32" t="inlineStr"/>
      <c r="I36" s="8" t="n">
        <v>200</v>
      </c>
      <c r="J36" s="32" t="inlineStr">
        <is>
          <t>{"url":"https://httpbin.org/get"}</t>
        </is>
      </c>
      <c r="K36" s="8" t="inlineStr">
        <is>
          <t>P51</t>
        </is>
      </c>
    </row>
    <row r="37" ht="34" customHeight="1">
      <c r="A37" s="17" t="inlineStr">
        <is>
          <t>E34</t>
        </is>
      </c>
      <c r="B37" s="19" t="inlineStr">
        <is>
          <t>GET /status/429 - rate-limit shape</t>
        </is>
      </c>
      <c r="C37" s="20" t="inlineStr">
        <is>
          <t>GET</t>
        </is>
      </c>
      <c r="D37" s="33" t="inlineStr">
        <is>
          <t>https://httpbin.org/status/429</t>
        </is>
      </c>
      <c r="E37" s="19" t="inlineStr"/>
      <c r="F37" s="20" t="inlineStr">
        <is>
          <t>none</t>
        </is>
      </c>
      <c r="G37" s="18" t="inlineStr"/>
      <c r="H37" s="33" t="inlineStr"/>
      <c r="I37" s="20" t="n">
        <v>429</v>
      </c>
      <c r="J37" s="33" t="inlineStr"/>
      <c r="K37" s="20" t="inlineStr">
        <is>
          <t>P54</t>
        </is>
      </c>
    </row>
    <row r="38" ht="34" customHeight="1">
      <c r="A38" s="26" t="inlineStr">
        <is>
          <t>E35</t>
        </is>
      </c>
      <c r="B38" s="28" t="inlineStr">
        <is>
          <t>GET /posts/99999999 - unknown resource 404</t>
        </is>
      </c>
      <c r="C38" s="8" t="inlineStr">
        <is>
          <t>GET</t>
        </is>
      </c>
      <c r="D38" s="32" t="inlineStr">
        <is>
          <t>https://jsonplaceholder.typicode.com/posts/99999999</t>
        </is>
      </c>
      <c r="E38" s="28" t="inlineStr">
        <is>
          <t>Accept: application/json</t>
        </is>
      </c>
      <c r="F38" s="8" t="inlineStr">
        <is>
          <t>none</t>
        </is>
      </c>
      <c r="G38" s="27" t="inlineStr"/>
      <c r="H38" s="32" t="inlineStr"/>
      <c r="I38" s="8" t="n">
        <v>404</v>
      </c>
      <c r="J38" s="32" t="inlineStr">
        <is>
          <t>{}</t>
        </is>
      </c>
      <c r="K38" s="8" t="inlineStr">
        <is>
          <t>P57</t>
        </is>
      </c>
    </row>
    <row r="39" ht="34" customHeight="1">
      <c r="A39" s="17" t="inlineStr">
        <is>
          <t>E36</t>
        </is>
      </c>
      <c r="B39" s="19" t="inlineStr">
        <is>
          <t>GET /status/418 - explicit status contract</t>
        </is>
      </c>
      <c r="C39" s="20" t="inlineStr">
        <is>
          <t>GET</t>
        </is>
      </c>
      <c r="D39" s="33" t="inlineStr">
        <is>
          <t>https://httpbin.org/status/418</t>
        </is>
      </c>
      <c r="E39" s="19" t="inlineStr"/>
      <c r="F39" s="20" t="inlineStr">
        <is>
          <t>none</t>
        </is>
      </c>
      <c r="G39" s="18" t="inlineStr"/>
      <c r="H39" s="33" t="inlineStr"/>
      <c r="I39" s="20" t="n">
        <v>418</v>
      </c>
      <c r="J39" s="33" t="inlineStr"/>
      <c r="K39" s="20" t="inlineStr">
        <is>
          <t>P58</t>
        </is>
      </c>
    </row>
    <row r="40" ht="34" customHeight="1">
      <c r="A40" s="26" t="inlineStr">
        <is>
          <t>E37</t>
        </is>
      </c>
      <c r="B40" s="28" t="inlineStr">
        <is>
          <t>GET /time/now - date / time response</t>
        </is>
      </c>
      <c r="C40" s="8" t="inlineStr">
        <is>
          <t>GET</t>
        </is>
      </c>
      <c r="D40" s="32" t="inlineStr">
        <is>
          <t>https://postman-echo.com/time/now</t>
        </is>
      </c>
      <c r="E40" s="28" t="inlineStr">
        <is>
          <t>Accept: text/plain</t>
        </is>
      </c>
      <c r="F40" s="8" t="inlineStr">
        <is>
          <t>none</t>
        </is>
      </c>
      <c r="G40" s="27" t="inlineStr"/>
      <c r="H40" s="32" t="inlineStr"/>
      <c r="I40" s="8" t="n">
        <v>200</v>
      </c>
      <c r="J40" s="32" t="inlineStr">
        <is>
          <t>Wed, 01 Jan 2026 00:00:00 GMT</t>
        </is>
      </c>
      <c r="K40" s="8" t="inlineStr">
        <is>
          <t>P62</t>
        </is>
      </c>
    </row>
    <row r="41" ht="34" customHeight="1">
      <c r="A41" s="17" t="inlineStr">
        <is>
          <t>E38</t>
        </is>
      </c>
      <c r="B41" s="19" t="inlineStr">
        <is>
          <t>GET /encoding/utf8 - unicode content</t>
        </is>
      </c>
      <c r="C41" s="20" t="inlineStr">
        <is>
          <t>GET</t>
        </is>
      </c>
      <c r="D41" s="33" t="inlineStr">
        <is>
          <t>https://httpbin.org/encoding/utf8</t>
        </is>
      </c>
      <c r="E41" s="19" t="inlineStr">
        <is>
          <t>Accept: text/html</t>
        </is>
      </c>
      <c r="F41" s="20" t="inlineStr">
        <is>
          <t>none</t>
        </is>
      </c>
      <c r="G41" s="18" t="inlineStr"/>
      <c r="H41" s="33" t="inlineStr"/>
      <c r="I41" s="20" t="n">
        <v>200</v>
      </c>
      <c r="J41" s="33" t="inlineStr">
        <is>
          <t>Unicode Demo</t>
        </is>
      </c>
      <c r="K41" s="20" t="inlineStr">
        <is>
          <t>P64</t>
        </is>
      </c>
    </row>
    <row r="42" ht="34" customHeight="1">
      <c r="A42" s="26" t="inlineStr">
        <is>
          <t>E39</t>
        </is>
      </c>
      <c r="B42" s="28" t="inlineStr">
        <is>
          <t>GET /response-headers - header contract</t>
        </is>
      </c>
      <c r="C42" s="8" t="inlineStr">
        <is>
          <t>GET</t>
        </is>
      </c>
      <c r="D42" s="32" t="inlineStr">
        <is>
          <t>https://httpbin.org/response-headers?X-Request-Id=intelliqe-001</t>
        </is>
      </c>
      <c r="E42" s="28" t="inlineStr">
        <is>
          <t>Accept: application/json</t>
        </is>
      </c>
      <c r="F42" s="8" t="inlineStr">
        <is>
          <t>none</t>
        </is>
      </c>
      <c r="G42" s="27" t="inlineStr"/>
      <c r="H42" s="32" t="inlineStr"/>
      <c r="I42" s="8" t="n">
        <v>200</v>
      </c>
      <c r="J42" s="32" t="inlineStr">
        <is>
          <t>{"X-Request-Id":"intelliqe-001"}</t>
        </is>
      </c>
      <c r="K42" s="8" t="inlineStr">
        <is>
          <t>P66</t>
        </is>
      </c>
    </row>
    <row r="43" ht="34" customHeight="1">
      <c r="A43" s="17" t="inlineStr">
        <is>
          <t>E40</t>
        </is>
      </c>
      <c r="B43" s="19" t="inlineStr">
        <is>
          <t>GET /xml with Accept xml - content negotiation</t>
        </is>
      </c>
      <c r="C43" s="20" t="inlineStr">
        <is>
          <t>GET</t>
        </is>
      </c>
      <c r="D43" s="33" t="inlineStr">
        <is>
          <t>https://httpbin.org/xml</t>
        </is>
      </c>
      <c r="E43" s="19" t="inlineStr">
        <is>
          <t>Accept: application/xml</t>
        </is>
      </c>
      <c r="F43" s="20" t="inlineStr">
        <is>
          <t>none</t>
        </is>
      </c>
      <c r="G43" s="18" t="inlineStr"/>
      <c r="H43" s="33" t="inlineStr"/>
      <c r="I43" s="20" t="n">
        <v>200</v>
      </c>
      <c r="J43" s="33" t="inlineStr">
        <is>
          <t>&lt;slideshow</t>
        </is>
      </c>
      <c r="K43" s="20" t="inlineStr">
        <is>
          <t>P67</t>
        </is>
      </c>
    </row>
    <row r="44" ht="34" customHeight="1">
      <c r="A44" s="26" t="inlineStr">
        <is>
          <t>E41</t>
        </is>
      </c>
      <c r="B44" s="28" t="inlineStr">
        <is>
          <t>GET GitHub repo - versioned via Accept header</t>
        </is>
      </c>
      <c r="C44" s="8" t="inlineStr">
        <is>
          <t>GET</t>
        </is>
      </c>
      <c r="D44" s="32" t="inlineStr">
        <is>
          <t>https://api.github.com/repos/microsoft/playwright</t>
        </is>
      </c>
      <c r="E44" s="28" t="inlineStr">
        <is>
          <t>Accept: application/vnd.github+json</t>
        </is>
      </c>
      <c r="F44" s="8" t="inlineStr">
        <is>
          <t>none</t>
        </is>
      </c>
      <c r="G44" s="27" t="inlineStr"/>
      <c r="H44" s="32" t="inlineStr"/>
      <c r="I44" s="8" t="n">
        <v>200</v>
      </c>
      <c r="J44" s="32" t="inlineStr">
        <is>
          <t>{"id":221981891,"name":"playwright","full_name":"microsoft/playwright"}</t>
        </is>
      </c>
      <c r="K44" s="8" t="inlineStr">
        <is>
          <t>P68</t>
        </is>
      </c>
    </row>
    <row r="46" ht="16" customHeight="1">
      <c r="A46" s="34" t="inlineStr">
        <is>
          <t>Headers use  Name: value  form; separate multiple headers with a line break inside the cell. Auth Value is the bare credential only - no scheme, no header name: a token without 'Bearer ', or username:password for basic. These are public sandbox endpoints and public throwaway credentials, chosen from published documentation and not pinged from the machine that built this file - confirm reachability from your network before recording a failure as a defect.</t>
        </is>
      </c>
    </row>
    <row r="47" ht="16" customHeight="1"/>
    <row r="48" ht="16" customHeight="1"/>
  </sheetData>
  <autoFilter ref="A3:K44"/>
  <mergeCells count="3">
    <mergeCell ref="A2:K2"/>
    <mergeCell ref="A1:K1"/>
    <mergeCell ref="A46:K4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showGridLines="0" workbookViewId="0">
      <pane ySplit="3" topLeftCell="A4" activePane="bottomLeft" state="frozen"/>
      <selection pane="bottomLeft" activeCell="A1" sqref="A1"/>
    </sheetView>
  </sheetViews>
  <sheetFormatPr baseColWidth="8" defaultRowHeight="15"/>
  <cols>
    <col width="24" customWidth="1" min="1" max="1"/>
    <col width="11" customWidth="1" min="2" max="2"/>
    <col width="30" customWidth="1" min="3" max="3"/>
    <col width="78" customWidth="1" min="4" max="4"/>
    <col width="26" customWidth="1" min="5" max="5"/>
  </cols>
  <sheetData>
    <row r="1" ht="26" customHeight="1">
      <c r="A1" s="1" t="inlineStr">
        <is>
          <t>Scenario Matrix  ·  what the generator designs for every endpoint</t>
        </is>
      </c>
    </row>
    <row r="2" ht="18" customHeight="1">
      <c r="A2" s="2" t="inlineStr">
        <is>
          <t>[core] always runs · [wide] needs Standard or Exhaustive · [deep] needs Exhaustive. Essential targets 4-6 cases, Standard 10-16, Exhaustive 16-28.</t>
        </is>
      </c>
    </row>
    <row r="3" ht="30" customHeight="1">
      <c r="A3" s="7" t="inlineStr">
        <is>
          <t>Block</t>
        </is>
      </c>
      <c r="B3" s="7" t="inlineStr">
        <is>
          <t>Depth gate</t>
        </is>
      </c>
      <c r="C3" s="7" t="inlineStr">
        <is>
          <t>Scenario row</t>
        </is>
      </c>
      <c r="D3" s="7" t="inlineStr">
        <is>
          <t>What it asserts</t>
        </is>
      </c>
      <c r="E3" s="7" t="inlineStr">
        <is>
          <t>Applies to</t>
        </is>
      </c>
    </row>
    <row r="4" ht="28" customHeight="1">
      <c r="A4" s="35" t="inlineStr">
        <is>
          <t>CONTRACT</t>
        </is>
      </c>
      <c r="B4" s="36" t="inlineStr">
        <is>
          <t>[core]</t>
        </is>
      </c>
      <c r="C4" s="37" t="inlineStr">
        <is>
          <t>Happy path</t>
        </is>
      </c>
      <c r="D4" s="37" t="inlineStr">
        <is>
          <t>The documented request returns the EXACT expected status code, plus the documented content-type.</t>
        </is>
      </c>
      <c r="E4" s="37" t="inlineStr">
        <is>
          <t>All methods</t>
        </is>
      </c>
    </row>
    <row r="5" ht="28" customHeight="1">
      <c r="A5" s="27" t="inlineStr"/>
      <c r="B5" s="8" t="inlineStr">
        <is>
          <t>[core]</t>
        </is>
      </c>
      <c r="C5" s="28" t="inlineStr">
        <is>
          <t>Response schema</t>
        </is>
      </c>
      <c r="D5" s="28" t="inlineStr">
        <is>
          <t>Each key field from the sample body exists, is of the right type, and equals the literal value where the sample is unambiguous.</t>
        </is>
      </c>
      <c r="E5" s="28" t="inlineStr">
        <is>
          <t>All methods</t>
        </is>
      </c>
    </row>
    <row r="6" ht="28" customHeight="1">
      <c r="A6" s="27" t="inlineStr"/>
      <c r="B6" s="8" t="inlineStr">
        <is>
          <t>[wide]</t>
        </is>
      </c>
      <c r="C6" s="28" t="inlineStr">
        <is>
          <t>Response time</t>
        </is>
      </c>
      <c r="D6" s="28" t="inlineStr">
        <is>
          <t>One responseTimeUnderMs guard on the happy path.</t>
        </is>
      </c>
      <c r="E6" s="28" t="inlineStr">
        <is>
          <t>All methods</t>
        </is>
      </c>
    </row>
    <row r="7" ht="28" customHeight="1">
      <c r="A7" s="27" t="inlineStr"/>
      <c r="B7" s="8" t="inlineStr">
        <is>
          <t>[deep]</t>
        </is>
      </c>
      <c r="C7" s="28" t="inlineStr">
        <is>
          <t>Content negotiation</t>
        </is>
      </c>
      <c r="D7" s="28" t="inlineStr">
        <is>
          <t>Accept: application/xml (or another unsupported type) returns 406, or JSON if the API ignores it.</t>
        </is>
      </c>
      <c r="E7" s="28" t="inlineStr">
        <is>
          <t>GET</t>
        </is>
      </c>
    </row>
    <row r="8" ht="28" customHeight="1">
      <c r="A8" s="35" t="inlineStr">
        <is>
          <t>NEGATIVE / VALIDATION</t>
        </is>
      </c>
      <c r="B8" s="36" t="inlineStr">
        <is>
          <t>[core]</t>
        </is>
      </c>
      <c r="C8" s="37" t="inlineStr">
        <is>
          <t>Unknown resource</t>
        </is>
      </c>
      <c r="D8" s="37" t="inlineStr">
        <is>
          <t>A path id that cannot exist (for example 99999999) returns 404.</t>
        </is>
      </c>
      <c r="E8" s="37" t="inlineStr">
        <is>
          <t>All methods</t>
        </is>
      </c>
    </row>
    <row r="9" ht="28" customHeight="1">
      <c r="A9" s="27" t="inlineStr"/>
      <c r="B9" s="8" t="inlineStr">
        <is>
          <t>[core]</t>
        </is>
      </c>
      <c r="C9" s="28" t="inlineStr">
        <is>
          <t>Malformed path / query</t>
        </is>
      </c>
      <c r="D9" s="28" t="inlineStr">
        <is>
          <t>A non-numeric id where a number is required, or an invalid query value, returns 4xx.</t>
        </is>
      </c>
      <c r="E9" s="28" t="inlineStr">
        <is>
          <t>All methods</t>
        </is>
      </c>
    </row>
    <row r="10" ht="28" customHeight="1">
      <c r="A10" s="27" t="inlineStr"/>
      <c r="B10" s="8" t="inlineStr">
        <is>
          <t>[wide]</t>
        </is>
      </c>
      <c r="C10" s="28" t="inlineStr">
        <is>
          <t>Wrong HTTP method</t>
        </is>
      </c>
      <c r="D10" s="28" t="inlineStr">
        <is>
          <t>A different verb against the same URL returns 405, or a documented 4xx.</t>
        </is>
      </c>
      <c r="E10" s="28" t="inlineStr">
        <is>
          <t>All methods</t>
        </is>
      </c>
    </row>
    <row r="11" ht="28" customHeight="1">
      <c r="A11" s="27" t="inlineStr"/>
      <c r="B11" s="8" t="inlineStr">
        <is>
          <t>[wide]</t>
        </is>
      </c>
      <c r="C11" s="28" t="inlineStr">
        <is>
          <t>Unknown query parameter</t>
        </is>
      </c>
      <c r="D11" s="28" t="inlineStr">
        <is>
          <t>A junk query parameter is ignored (2xx) rather than causing a 500.</t>
        </is>
      </c>
      <c r="E11" s="28" t="inlineStr">
        <is>
          <t>All methods</t>
        </is>
      </c>
    </row>
    <row r="12" ht="28" customHeight="1">
      <c r="A12" s="27" t="inlineStr"/>
      <c r="B12" s="8" t="inlineStr">
        <is>
          <t>[deep]</t>
        </is>
      </c>
      <c r="C12" s="28" t="inlineStr">
        <is>
          <t>Trailing-slash / case variance</t>
        </is>
      </c>
      <c r="D12" s="28" t="inlineStr">
        <is>
          <t>A path variant does not produce a 500.</t>
        </is>
      </c>
      <c r="E12" s="28" t="inlineStr">
        <is>
          <t>All methods</t>
        </is>
      </c>
    </row>
    <row r="13" ht="28" customHeight="1">
      <c r="A13" s="35" t="inlineStr">
        <is>
          <t>PAYLOAD</t>
        </is>
      </c>
      <c r="B13" s="36" t="inlineStr">
        <is>
          <t>[core]</t>
        </is>
      </c>
      <c r="C13" s="37" t="inlineStr">
        <is>
          <t>Missing required field</t>
        </is>
      </c>
      <c r="D13" s="37" t="inlineStr">
        <is>
          <t>Dropping one field the sample body carries returns 4xx.</t>
        </is>
      </c>
      <c r="E13" s="37" t="inlineStr">
        <is>
          <t>POST / PUT / PATCH</t>
        </is>
      </c>
    </row>
    <row r="14" ht="28" customHeight="1">
      <c r="A14" s="27" t="inlineStr"/>
      <c r="B14" s="8" t="inlineStr">
        <is>
          <t>[core]</t>
        </is>
      </c>
      <c r="C14" s="28" t="inlineStr">
        <is>
          <t>Malformed JSON</t>
        </is>
      </c>
      <c r="D14" s="28" t="inlineStr">
        <is>
          <t>A syntactically broken body returns 400.</t>
        </is>
      </c>
      <c r="E14" s="28" t="inlineStr">
        <is>
          <t>POST / PUT / PATCH</t>
        </is>
      </c>
    </row>
    <row r="15" ht="28" customHeight="1">
      <c r="A15" s="27" t="inlineStr"/>
      <c r="B15" s="8" t="inlineStr">
        <is>
          <t>[wide]</t>
        </is>
      </c>
      <c r="C15" s="28" t="inlineStr">
        <is>
          <t>Wrong field type</t>
        </is>
      </c>
      <c r="D15" s="28" t="inlineStr">
        <is>
          <t>A string where the sample has a number returns 4xx.</t>
        </is>
      </c>
      <c r="E15" s="28" t="inlineStr">
        <is>
          <t>POST / PUT / PATCH</t>
        </is>
      </c>
    </row>
    <row r="16" ht="28" customHeight="1">
      <c r="A16" s="27" t="inlineStr"/>
      <c r="B16" s="8" t="inlineStr">
        <is>
          <t>[wide]</t>
        </is>
      </c>
      <c r="C16" s="28" t="inlineStr">
        <is>
          <t>Empty body</t>
        </is>
      </c>
      <c r="D16" s="28" t="inlineStr">
        <is>
          <t>'{}' or an empty string returns 4xx.</t>
        </is>
      </c>
      <c r="E16" s="28" t="inlineStr">
        <is>
          <t>POST / PUT / PATCH</t>
        </is>
      </c>
    </row>
    <row r="17" ht="28" customHeight="1">
      <c r="A17" s="27" t="inlineStr"/>
      <c r="B17" s="8" t="inlineStr">
        <is>
          <t>[deep]</t>
        </is>
      </c>
      <c r="C17" s="28" t="inlineStr">
        <is>
          <t>Extra / unknown field</t>
        </is>
      </c>
      <c r="D17" s="28" t="inlineStr">
        <is>
          <t>An unexpected field is either rejected or safely ignored.</t>
        </is>
      </c>
      <c r="E17" s="28" t="inlineStr">
        <is>
          <t>POST / PUT / PATCH</t>
        </is>
      </c>
    </row>
    <row r="18" ht="28" customHeight="1">
      <c r="A18" s="27" t="inlineStr"/>
      <c r="B18" s="8" t="inlineStr">
        <is>
          <t>[deep]</t>
        </is>
      </c>
      <c r="C18" s="28" t="inlineStr">
        <is>
          <t>Oversized field</t>
        </is>
      </c>
      <c r="D18" s="28" t="inlineStr">
        <is>
          <t>A very long string in one field returns 4xx or 413.</t>
        </is>
      </c>
      <c r="E18" s="28" t="inlineStr">
        <is>
          <t>POST / PUT / PATCH</t>
        </is>
      </c>
    </row>
    <row r="19" ht="28" customHeight="1">
      <c r="A19" s="35" t="inlineStr">
        <is>
          <t>AUTH</t>
        </is>
      </c>
      <c r="B19" s="36" t="inlineStr">
        <is>
          <t>[core]</t>
        </is>
      </c>
      <c r="C19" s="37" t="inlineStr">
        <is>
          <t>Valid credential</t>
        </is>
      </c>
      <c r="D19" s="37" t="inlineStr">
        <is>
          <t>The configured credential returns the expected 2xx.</t>
        </is>
      </c>
      <c r="E19" s="37" t="inlineStr">
        <is>
          <t>Only when auth is configured</t>
        </is>
      </c>
    </row>
    <row r="20" ht="28" customHeight="1">
      <c r="A20" s="27" t="inlineStr"/>
      <c r="B20" s="8" t="inlineStr">
        <is>
          <t>[core]</t>
        </is>
      </c>
      <c r="C20" s="28" t="inlineStr">
        <is>
          <t>No credential</t>
        </is>
      </c>
      <c r="D20" s="28" t="inlineStr">
        <is>
          <t>Sending no credential returns 401 or 403 - includeAuth:false strips the header.</t>
        </is>
      </c>
      <c r="E20" s="28" t="inlineStr">
        <is>
          <t>Only when auth is configured</t>
        </is>
      </c>
    </row>
    <row r="21" ht="28" customHeight="1">
      <c r="A21" s="27" t="inlineStr"/>
      <c r="B21" s="8" t="inlineStr">
        <is>
          <t>[wide]</t>
        </is>
      </c>
      <c r="C21" s="28" t="inlineStr">
        <is>
          <t>Malformed credential</t>
        </is>
      </c>
      <c r="D21" s="28" t="inlineStr">
        <is>
          <t>An explicit bogus Authorization header returns 401 or 403.</t>
        </is>
      </c>
      <c r="E21" s="28" t="inlineStr">
        <is>
          <t>Only when auth is configured</t>
        </is>
      </c>
    </row>
    <row r="22" ht="28" customHeight="1">
      <c r="A22" s="27" t="inlineStr"/>
      <c r="B22" s="8" t="inlineStr">
        <is>
          <t>[deep]</t>
        </is>
      </c>
      <c r="C22" s="28" t="inlineStr">
        <is>
          <t>Expired / revoked token</t>
        </is>
      </c>
      <c r="D22" s="28" t="inlineStr">
        <is>
          <t>A well-formed but invalid value returns 401.</t>
        </is>
      </c>
      <c r="E22" s="28" t="inlineStr">
        <is>
          <t>Only when auth is configured</t>
        </is>
      </c>
    </row>
    <row r="23" ht="28" customHeight="1">
      <c r="A23" s="35" t="inlineStr">
        <is>
          <t>RESILIENCE</t>
        </is>
      </c>
      <c r="B23" s="36" t="inlineStr">
        <is>
          <t>[wide]</t>
        </is>
      </c>
      <c r="C23" s="37" t="inlineStr">
        <is>
          <t>Header sanity</t>
        </is>
      </c>
      <c r="D23" s="37" t="inlineStr">
        <is>
          <t>The content-type on the happy path is the documented type.</t>
        </is>
      </c>
      <c r="E23" s="37" t="inlineStr">
        <is>
          <t>All methods</t>
        </is>
      </c>
    </row>
    <row r="24" ht="28" customHeight="1">
      <c r="A24" s="27" t="inlineStr"/>
      <c r="B24" s="8" t="inlineStr">
        <is>
          <t>[deep]</t>
        </is>
      </c>
      <c r="C24" s="28" t="inlineStr">
        <is>
          <t>Injection probe</t>
        </is>
      </c>
      <c r="D24" s="28" t="inlineStr">
        <is>
          <t>A SQL- or script-shaped value returns a clean 4xx, and the raw payload is not echoed back.</t>
        </is>
      </c>
      <c r="E24" s="28" t="inlineStr">
        <is>
          <t>All methods</t>
        </is>
      </c>
    </row>
    <row r="25" ht="28" customHeight="1">
      <c r="A25" s="27" t="inlineStr"/>
      <c r="B25" s="8" t="inlineStr">
        <is>
          <t>[deep]</t>
        </is>
      </c>
      <c r="C25" s="28" t="inlineStr">
        <is>
          <t>Idempotency</t>
        </is>
      </c>
      <c r="D25" s="28" t="inlineStr">
        <is>
          <t>The documented request sent twice returns the same status.</t>
        </is>
      </c>
      <c r="E25" s="28" t="inlineStr">
        <is>
          <t>GET / PUT / DELETE</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22" customWidth="1" min="1" max="1"/>
    <col width="62" customWidth="1" min="2" max="2"/>
    <col width="62" customWidth="1" min="3" max="3"/>
    <col width="66" customWidth="1" min="4" max="4"/>
  </cols>
  <sheetData>
    <row r="1" ht="26" customHeight="1">
      <c r="A1" s="1" t="inlineStr">
        <is>
          <t>Check Types  ·  the 8 assertions the renderer supports</t>
        </is>
      </c>
    </row>
    <row r="2" ht="18" customHeight="1">
      <c r="A2" s="2" t="inlineStr">
        <is>
          <t>The generator returns typed JSON checks; a deterministic renderer turns each one into the Playwright line shown. Nothing outside this list can be asserted.</t>
        </is>
      </c>
    </row>
    <row r="3" ht="30" customHeight="1">
      <c r="A3" s="7" t="inlineStr">
        <is>
          <t>Check kind</t>
        </is>
      </c>
      <c r="B3" s="7" t="inlineStr">
        <is>
          <t>What it asserts</t>
        </is>
      </c>
      <c r="C3" s="7" t="inlineStr">
        <is>
          <t>JSON the generator emits</t>
        </is>
      </c>
      <c r="D3" s="7" t="inlineStr">
        <is>
          <t>Rendered Playwright assertion</t>
        </is>
      </c>
    </row>
    <row r="4" ht="40" customHeight="1">
      <c r="A4" s="38" t="inlineStr">
        <is>
          <t>status</t>
        </is>
      </c>
      <c r="B4" s="39" t="inlineStr">
        <is>
          <t>Assert the HTTP status code exactly, against a set, or below a ceiling.</t>
        </is>
      </c>
      <c r="C4" s="40" t="inlineStr">
        <is>
          <t>{ "kind": "status", "equals": 200 }   /   "oneOf": [200,201]   /   "lessThan": 500</t>
        </is>
      </c>
      <c r="D4" s="40" t="inlineStr">
        <is>
          <t>expect(response.status(), 'HTTP status code').toBe(200);</t>
        </is>
      </c>
    </row>
    <row r="5" ht="40" customHeight="1">
      <c r="A5" s="41" t="inlineStr">
        <is>
          <t>ok</t>
        </is>
      </c>
      <c r="B5" s="42" t="inlineStr">
        <is>
          <t>Assert the response is any 2xx.</t>
        </is>
      </c>
      <c r="C5" s="43" t="inlineStr">
        <is>
          <t>{ "kind": "ok" }</t>
        </is>
      </c>
      <c r="D5" s="43" t="inlineStr">
        <is>
          <t>expect(response.ok(), 'response should be successful (2xx)').toBeTruthy();</t>
        </is>
      </c>
    </row>
    <row r="6" ht="40" customHeight="1">
      <c r="A6" s="38" t="inlineStr">
        <is>
          <t>notOk</t>
        </is>
      </c>
      <c r="B6" s="39" t="inlineStr">
        <is>
          <t>Assert the response is NOT 2xx - the safe assertion for a negative case.</t>
        </is>
      </c>
      <c r="C6" s="40" t="inlineStr">
        <is>
          <t>{ "kind": "notOk" }</t>
        </is>
      </c>
      <c r="D6" s="40" t="inlineStr">
        <is>
          <t>expect(response.ok(), 'response should be a non-2xx error').toBeFalsy();</t>
        </is>
      </c>
    </row>
    <row r="7" ht="40" customHeight="1">
      <c r="A7" s="41" t="inlineStr">
        <is>
          <t>jsonProperty</t>
        </is>
      </c>
      <c r="B7" s="42" t="inlineStr">
        <is>
          <t>Assert a dotted path in the JSON body exists, deep-equals a literal, or is of a given type (string|number|boolean|array|object).</t>
        </is>
      </c>
      <c r="C7" s="43" t="inlineStr">
        <is>
          <t>{ "kind": "jsonProperty", "path": "data.0.id", "exists": true, "type": "number" }</t>
        </is>
      </c>
      <c r="D7" s="43" t="inlineStr">
        <is>
          <t>expect(getPath(body, 'data.0.id')).toBeDefined();</t>
        </is>
      </c>
    </row>
    <row r="8" ht="40" customHeight="1">
      <c r="A8" s="38" t="inlineStr">
        <is>
          <t>jsonArrayNotEmpty</t>
        </is>
      </c>
      <c r="B8" s="39" t="inlineStr">
        <is>
          <t>Assert the body - or a path inside it - is a non-empty array. A path of "" means the JSON root.</t>
        </is>
      </c>
      <c r="C8" s="40" t="inlineStr">
        <is>
          <t>{ "kind": "jsonArrayNotEmpty", "path": "" }</t>
        </is>
      </c>
      <c r="D8" s="40" t="inlineStr">
        <is>
          <t>expect(Array.isArray(body)).toBeTruthy(); expect((body || []).length).toBeGreaterThan(0);</t>
        </is>
      </c>
    </row>
    <row r="9" ht="40" customHeight="1">
      <c r="A9" s="41" t="inlineStr">
        <is>
          <t>header</t>
        </is>
      </c>
      <c r="B9" s="42" t="inlineStr">
        <is>
          <t>Assert a response header is present, or contains a substring. Header names match case-insensitively.</t>
        </is>
      </c>
      <c r="C9" s="43" t="inlineStr">
        <is>
          <t>{ "kind": "header", "name": "content-type", "contains": "application/json" }</t>
        </is>
      </c>
      <c r="D9" s="43" t="inlineStr">
        <is>
          <t>expect(String(response.headers()['content-type'] || '')).toContain('application/json');</t>
        </is>
      </c>
    </row>
    <row r="10" ht="40" customHeight="1">
      <c r="A10" s="38" t="inlineStr">
        <is>
          <t>bodyContains</t>
        </is>
      </c>
      <c r="B10" s="39" t="inlineStr">
        <is>
          <t>Assert the RAW response text contains a substring - the only option for XML, HTML and plain text.</t>
        </is>
      </c>
      <c r="C10" s="40" t="inlineStr">
        <is>
          <t>{ "kind": "bodyContains", "text": "five hundred" }</t>
        </is>
      </c>
      <c r="D10" s="40" t="inlineStr">
        <is>
          <t>expect(rawText).toContain('five hundred');</t>
        </is>
      </c>
    </row>
    <row r="11" ht="40" customHeight="1">
      <c r="A11" s="41" t="inlineStr">
        <is>
          <t>responseTimeUnderMs</t>
        </is>
      </c>
      <c r="B11" s="42" t="inlineStr">
        <is>
          <t>Assert the round trip completed under N milliseconds.</t>
        </is>
      </c>
      <c r="C11" s="43" t="inlineStr">
        <is>
          <t>{ "kind": "responseTimeUnderMs", "ms": 5000 }</t>
        </is>
      </c>
      <c r="D11" s="43" t="inlineStr">
        <is>
          <t>expect(elapsedMs, 'response time (ms)').toBeLessThan(5000);</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6"/>
  <sheetViews>
    <sheetView showGridLines="0" workbookViewId="0">
      <pane ySplit="3" topLeftCell="A4" activePane="bottomLeft" state="frozen"/>
      <selection pane="bottomLeft" activeCell="A1" sqref="A1"/>
    </sheetView>
  </sheetViews>
  <sheetFormatPr baseColWidth="8" defaultRowHeight="15"/>
  <cols>
    <col width="34" customWidth="1" min="1" max="1"/>
    <col width="14" customWidth="1" min="2" max="2"/>
    <col width="14" customWidth="1" min="3" max="3"/>
    <col width="14" customWidth="1" min="4" max="4"/>
  </cols>
  <sheetData>
    <row r="1" ht="26" customHeight="1">
      <c r="A1" s="1" t="inlineStr">
        <is>
          <t>Validation Summary</t>
        </is>
      </c>
    </row>
    <row r="2" ht="18" customHeight="1">
      <c r="A2" s="2" t="inlineStr">
        <is>
          <t>Every figure below is a live formula over the API Patterns sheet, rows 5-72. The worked example in row 4 is excluded. Nothing here is typed in.</t>
        </is>
      </c>
    </row>
    <row r="4" ht="20" customHeight="1">
      <c r="A4" s="44" t="inlineStr">
        <is>
          <t>Platform support across the 68 patterns</t>
        </is>
      </c>
      <c r="B4" s="45" t="n"/>
      <c r="C4" s="45" t="n"/>
      <c r="D4" s="45" t="n"/>
    </row>
    <row r="5">
      <c r="A5" s="46" t="inlineStr">
        <is>
          <t>Patterns catalogued</t>
        </is>
      </c>
      <c r="B5" s="47">
        <f>COUNTA('API Patterns'!$A$5:$A$72)</f>
        <v/>
      </c>
    </row>
    <row r="6">
      <c r="A6" s="46" t="inlineStr">
        <is>
          <t>Native  - fully supported</t>
        </is>
      </c>
      <c r="B6" s="47">
        <f>COUNTIF('API Patterns'!$F$5:$F$72,"Native")</f>
        <v/>
      </c>
    </row>
    <row r="7">
      <c r="A7" s="46" t="inlineStr">
        <is>
          <t>Partial - works with a caveat</t>
        </is>
      </c>
      <c r="B7" s="47">
        <f>COUNTIF('API Patterns'!$F$5:$F$72,"Partial")</f>
        <v/>
      </c>
    </row>
    <row r="8">
      <c r="A8" s="46" t="inlineStr">
        <is>
          <t>Gap     - not supported today</t>
        </is>
      </c>
      <c r="B8" s="47">
        <f>COUNTIF('API Patterns'!$F$5:$F$72,"Gap")</f>
        <v/>
      </c>
    </row>
    <row r="9">
      <c r="A9" s="46" t="inlineStr">
        <is>
          <t>Native + Partial as a share</t>
        </is>
      </c>
      <c r="B9" s="48">
        <f>IFERROR((COUNTIF('API Patterns'!$F$5:$F$72,"Native")+COUNTIF('API Patterns'!$F$5:$F$72,"Partial"))/COUNTA('API Patterns'!$A$5:$A$72),"")</f>
        <v/>
      </c>
    </row>
    <row r="11" ht="20" customHeight="1">
      <c r="A11" s="44" t="inlineStr">
        <is>
          <t>Delivery status  (ETA column)</t>
        </is>
      </c>
      <c r="B11" s="45" t="n"/>
      <c r="C11" s="45" t="n"/>
      <c r="D11" s="45" t="n"/>
    </row>
    <row r="12">
      <c r="A12" s="46" t="inlineStr">
        <is>
          <t>Code complete - ETA set</t>
        </is>
      </c>
      <c r="B12" s="47">
        <f>COUNT('API Patterns'!$G$5:$G$72)</f>
        <v/>
      </c>
    </row>
    <row r="13">
      <c r="A13" s="46" t="inlineStr">
        <is>
          <t>Code complete on 09/09/2026</t>
        </is>
      </c>
      <c r="B13" s="47">
        <f>COUNTIF('API Patterns'!$G$5:$G$72,DATE(2026,9,9))</f>
        <v/>
      </c>
    </row>
    <row r="14">
      <c r="A14" s="46" t="inlineStr">
        <is>
          <t>ETA still TBD</t>
        </is>
      </c>
      <c r="B14" s="47">
        <f>COUNTIF('API Patterns'!$G$5:$G$72,"TBD")</f>
        <v/>
      </c>
    </row>
    <row r="15">
      <c r="A15" s="46" t="inlineStr">
        <is>
          <t>Code complete as a share</t>
        </is>
      </c>
      <c r="B15" s="48">
        <f>IFERROR(COUNT('API Patterns'!$G$5:$G$72)/COUNTA('API Patterns'!$A$5:$A$72),"")</f>
        <v/>
      </c>
    </row>
    <row r="17" ht="20" customHeight="1">
      <c r="A17" s="44" t="inlineStr">
        <is>
          <t>Validation progress</t>
        </is>
      </c>
      <c r="B17" s="45" t="n"/>
      <c r="C17" s="45" t="n"/>
      <c r="D17" s="45" t="n"/>
    </row>
    <row r="18">
      <c r="A18" s="46" t="inlineStr">
        <is>
          <t>Not started</t>
        </is>
      </c>
      <c r="B18" s="47">
        <f>COUNTIF('API Patterns'!$K$5:$K$72,"Not started")</f>
        <v/>
      </c>
    </row>
    <row r="19">
      <c r="A19" s="46" t="inlineStr">
        <is>
          <t>Pass</t>
        </is>
      </c>
      <c r="B19" s="47">
        <f>COUNTIF('API Patterns'!$K$5:$K$72,"Pass")</f>
        <v/>
      </c>
    </row>
    <row r="20">
      <c r="A20" s="46" t="inlineStr">
        <is>
          <t>Partial</t>
        </is>
      </c>
      <c r="B20" s="47">
        <f>COUNTIF('API Patterns'!$K$5:$K$72,"Partial")</f>
        <v/>
      </c>
    </row>
    <row r="21">
      <c r="A21" s="46" t="inlineStr">
        <is>
          <t>Fail</t>
        </is>
      </c>
      <c r="B21" s="47">
        <f>COUNTIF('API Patterns'!$K$5:$K$72,"Fail")</f>
        <v/>
      </c>
    </row>
    <row r="22">
      <c r="A22" s="46" t="inlineStr">
        <is>
          <t>Blocked</t>
        </is>
      </c>
      <c r="B22" s="47">
        <f>COUNTIF('API Patterns'!$K$5:$K$72,"Blocked")</f>
        <v/>
      </c>
    </row>
    <row r="23">
      <c r="A23" s="46" t="inlineStr">
        <is>
          <t>N/A - known gap</t>
        </is>
      </c>
      <c r="B23" s="47">
        <f>COUNTIF('API Patterns'!$K$5:$K$72,"N/A - known gap")</f>
        <v/>
      </c>
    </row>
    <row r="24">
      <c r="A24" s="46" t="inlineStr">
        <is>
          <t>Patterns exercised</t>
        </is>
      </c>
      <c r="B24" s="47">
        <f>COUNTA('API Patterns'!$K$5:$K$72)-COUNTIF('API Patterns'!$K$5:$K$72,"Not started")</f>
        <v/>
      </c>
    </row>
    <row r="25">
      <c r="A25" s="46" t="inlineStr">
        <is>
          <t>Scenarios generated, total</t>
        </is>
      </c>
      <c r="B25" s="49">
        <f>SUM('API Patterns'!$L$5:$L$72)</f>
        <v/>
      </c>
    </row>
    <row r="26">
      <c r="A26" s="46" t="inlineStr">
        <is>
          <t>Scenarios passed, total</t>
        </is>
      </c>
      <c r="B26" s="49">
        <f>SUM('API Patterns'!$M$5:$M$72)</f>
        <v/>
      </c>
    </row>
    <row r="27">
      <c r="A27" s="46" t="inlineStr">
        <is>
          <t>Overall scenario pass rate</t>
        </is>
      </c>
      <c r="B27" s="48">
        <f>IFERROR(SUM('API Patterns'!$M$5:$M$72)/SUM('API Patterns'!$L$5:$L$72),"")</f>
        <v/>
      </c>
    </row>
    <row r="29">
      <c r="A29" s="44" t="inlineStr">
        <is>
          <t>By group</t>
        </is>
      </c>
      <c r="B29" s="45" t="n"/>
      <c r="C29" s="45" t="n"/>
      <c r="D29" s="45" t="n"/>
    </row>
    <row r="30">
      <c r="A30" s="50" t="inlineStr">
        <is>
          <t>Group</t>
        </is>
      </c>
      <c r="B30" s="50" t="inlineStr">
        <is>
          <t>Native</t>
        </is>
      </c>
      <c r="C30" s="50" t="inlineStr">
        <is>
          <t>Partial</t>
        </is>
      </c>
      <c r="D30" s="50" t="inlineStr">
        <is>
          <t>Gap</t>
        </is>
      </c>
    </row>
    <row r="31">
      <c r="A31" s="46" t="inlineStr">
        <is>
          <t>Core REST / CRUD</t>
        </is>
      </c>
      <c r="B31" s="51">
        <f>COUNTIFS('API Patterns'!$B$5:$B$72,"Core REST / CRUD",'API Patterns'!$F$5:$F$72,"Native")</f>
        <v/>
      </c>
      <c r="C31" s="51">
        <f>COUNTIFS('API Patterns'!$B$5:$B$72,"Core REST / CRUD",'API Patterns'!$F$5:$F$72,"Partial")</f>
        <v/>
      </c>
      <c r="D31" s="51">
        <f>COUNTIFS('API Patterns'!$B$5:$B$72,"Core REST / CRUD",'API Patterns'!$F$5:$F$72,"Gap")</f>
        <v/>
      </c>
    </row>
    <row r="32">
      <c r="A32" s="46" t="inlineStr">
        <is>
          <t>Collections &amp; Query</t>
        </is>
      </c>
      <c r="B32" s="51">
        <f>COUNTIFS('API Patterns'!$B$5:$B$72,"Collections &amp; Query",'API Patterns'!$F$5:$F$72,"Native")</f>
        <v/>
      </c>
      <c r="C32" s="51">
        <f>COUNTIFS('API Patterns'!$B$5:$B$72,"Collections &amp; Query",'API Patterns'!$F$5:$F$72,"Partial")</f>
        <v/>
      </c>
      <c r="D32" s="51">
        <f>COUNTIFS('API Patterns'!$B$5:$B$72,"Collections &amp; Query",'API Patterns'!$F$5:$F$72,"Gap")</f>
        <v/>
      </c>
    </row>
    <row r="33">
      <c r="A33" s="46" t="inlineStr">
        <is>
          <t>Content &amp; Protocol</t>
        </is>
      </c>
      <c r="B33" s="51">
        <f>COUNTIFS('API Patterns'!$B$5:$B$72,"Content &amp; Protocol",'API Patterns'!$F$5:$F$72,"Native")</f>
        <v/>
      </c>
      <c r="C33" s="51">
        <f>COUNTIFS('API Patterns'!$B$5:$B$72,"Content &amp; Protocol",'API Patterns'!$F$5:$F$72,"Partial")</f>
        <v/>
      </c>
      <c r="D33" s="51">
        <f>COUNTIFS('API Patterns'!$B$5:$B$72,"Content &amp; Protocol",'API Patterns'!$F$5:$F$72,"Gap")</f>
        <v/>
      </c>
    </row>
    <row r="34">
      <c r="A34" s="46" t="inlineStr">
        <is>
          <t>Auth &amp; Security</t>
        </is>
      </c>
      <c r="B34" s="51">
        <f>COUNTIFS('API Patterns'!$B$5:$B$72,"Auth &amp; Security",'API Patterns'!$F$5:$F$72,"Native")</f>
        <v/>
      </c>
      <c r="C34" s="51">
        <f>COUNTIFS('API Patterns'!$B$5:$B$72,"Auth &amp; Security",'API Patterns'!$F$5:$F$72,"Partial")</f>
        <v/>
      </c>
      <c r="D34" s="51">
        <f>COUNTIFS('API Patterns'!$B$5:$B$72,"Auth &amp; Security",'API Patterns'!$F$5:$F$72,"Gap")</f>
        <v/>
      </c>
    </row>
    <row r="35">
      <c r="A35" s="46" t="inlineStr">
        <is>
          <t>Stateful &amp; Async</t>
        </is>
      </c>
      <c r="B35" s="51">
        <f>COUNTIFS('API Patterns'!$B$5:$B$72,"Stateful &amp; Async",'API Patterns'!$F$5:$F$72,"Native")</f>
        <v/>
      </c>
      <c r="C35" s="51">
        <f>COUNTIFS('API Patterns'!$B$5:$B$72,"Stateful &amp; Async",'API Patterns'!$F$5:$F$72,"Partial")</f>
        <v/>
      </c>
      <c r="D35" s="51">
        <f>COUNTIFS('API Patterns'!$B$5:$B$72,"Stateful &amp; Async",'API Patterns'!$F$5:$F$72,"Gap")</f>
        <v/>
      </c>
    </row>
    <row r="36">
      <c r="A36" s="46" t="inlineStr">
        <is>
          <t>Contract &amp; Data</t>
        </is>
      </c>
      <c r="B36" s="51">
        <f>COUNTIFS('API Patterns'!$B$5:$B$72,"Contract &amp; Data",'API Patterns'!$F$5:$F$72,"Native")</f>
        <v/>
      </c>
      <c r="C36" s="51">
        <f>COUNTIFS('API Patterns'!$B$5:$B$72,"Contract &amp; Data",'API Patterns'!$F$5:$F$72,"Partial")</f>
        <v/>
      </c>
      <c r="D36" s="51">
        <f>COUNTIFS('API Patterns'!$B$5:$B$72,"Contract &amp; Data",'API Patterns'!$F$5:$F$72,"Gap")</f>
        <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2026-09-10T12:06:41Z</dcterms:created>
  <dcterms:modified xmlns:dcterms="http://purl.org/dc/terms/" xmlns:xsi="http://www.w3.org/2001/XMLSchema-instance" xsi:type="dcterms:W3CDTF">2026-09-10T12:06:41Z</dcterms:modified>
</cp:coreProperties>
</file>